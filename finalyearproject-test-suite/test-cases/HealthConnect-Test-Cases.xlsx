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shv\Downloads\"/>
    </mc:Choice>
  </mc:AlternateContent>
  <xr:revisionPtr revIDLastSave="0" documentId="13_ncr:1_{FAF4EB07-D677-422F-A99F-3C404F8A6A16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ummary" sheetId="1" r:id="rId1"/>
    <sheet name="Test Cases" sheetId="2" r:id="rId2"/>
    <sheet name="Traceability" sheetId="3" r:id="rId3"/>
  </sheets>
  <definedNames>
    <definedName name="_xlnm._FilterDatabase" localSheetId="1" hidden="1">'Test Cases'!$A$1:$K$76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F8" i="1"/>
  <c r="C8" i="1"/>
  <c r="B8" i="1"/>
  <c r="G7" i="1"/>
  <c r="F7" i="1"/>
  <c r="C7" i="1"/>
  <c r="B7" i="1"/>
  <c r="E7" i="1" s="1"/>
  <c r="G6" i="1"/>
  <c r="F6" i="1"/>
  <c r="C6" i="1"/>
  <c r="B6" i="1"/>
  <c r="G5" i="1"/>
  <c r="F5" i="1"/>
  <c r="C5" i="1"/>
  <c r="B5" i="1"/>
  <c r="F9" i="1" l="1"/>
  <c r="G9" i="1"/>
  <c r="D8" i="1"/>
  <c r="B9" i="1"/>
  <c r="C9" i="1"/>
  <c r="D7" i="1"/>
  <c r="E5" i="1"/>
  <c r="E9" i="1"/>
  <c r="E6" i="1"/>
  <c r="E8" i="1"/>
  <c r="D6" i="1"/>
  <c r="D5" i="1"/>
  <c r="D9" i="1" l="1"/>
</calcChain>
</file>

<file path=xl/sharedStrings.xml><?xml version="1.0" encoding="utf-8"?>
<sst xmlns="http://schemas.openxmlformats.org/spreadsheetml/2006/main" count="943" uniqueCount="480">
  <si>
    <t>Level</t>
  </si>
  <si>
    <t>Total</t>
  </si>
  <si>
    <t>Passed</t>
  </si>
  <si>
    <t>Partial / Failed</t>
  </si>
  <si>
    <t>Pass rate</t>
  </si>
  <si>
    <t>Automated</t>
  </si>
  <si>
    <t>Manual</t>
  </si>
  <si>
    <t>Unit</t>
  </si>
  <si>
    <t>Integration</t>
  </si>
  <si>
    <t>System</t>
  </si>
  <si>
    <t>Acceptance</t>
  </si>
  <si>
    <t>TOTAL</t>
  </si>
  <si>
    <t>Legend</t>
  </si>
  <si>
    <t>Result</t>
  </si>
  <si>
    <t>Execution Type</t>
  </si>
  <si>
    <t>Priority</t>
  </si>
  <si>
    <t>Requirement ID</t>
  </si>
  <si>
    <t>Test ID</t>
  </si>
  <si>
    <t>Module / Component</t>
  </si>
  <si>
    <t>Scenario</t>
  </si>
  <si>
    <t>Steps / Input</t>
  </si>
  <si>
    <t>Expected Result</t>
  </si>
  <si>
    <t>Actual Result</t>
  </si>
  <si>
    <t>Priority (assigned)</t>
  </si>
  <si>
    <t>UT-01</t>
  </si>
  <si>
    <t>formatTime()</t>
  </si>
  <si>
    <t>Standard 24-hour input</t>
  </si>
  <si>
    <t>Input: '13:30'</t>
  </si>
  <si>
    <t>Return string: '1:30 PM'</t>
  </si>
  <si>
    <t>Returned string: '1:30 PM'</t>
  </si>
  <si>
    <t>PASS</t>
  </si>
  <si>
    <t>Low</t>
  </si>
  <si>
    <t>FR-06</t>
  </si>
  <si>
    <t>UT-02</t>
  </si>
  <si>
    <t>Boundary input (midnight)</t>
  </si>
  <si>
    <t>Input: '00:00'</t>
  </si>
  <si>
    <t>Return string: '12:00 AM'</t>
  </si>
  <si>
    <t>Returned string: '12:00 AM'</t>
  </si>
  <si>
    <t>UT-03</t>
  </si>
  <si>
    <t>Boundary input (noon)</t>
  </si>
  <si>
    <t>Input: '12:00'</t>
  </si>
  <si>
    <t>Return string: '12:00 PM'</t>
  </si>
  <si>
    <t>Returned string: '12:00 PM'</t>
  </si>
  <si>
    <t>UT-04</t>
  </si>
  <si>
    <t>Boundary input (end of day)</t>
  </si>
  <si>
    <t>Input: '23:59'</t>
  </si>
  <si>
    <t>Return string: '11:59 PM'</t>
  </si>
  <si>
    <t>Returned string: '11:59 PM'</t>
  </si>
  <si>
    <t>UT-05</t>
  </si>
  <si>
    <t>validateIC()</t>
  </si>
  <si>
    <t>Valid standard IC</t>
  </si>
  <si>
    <t>Input: '010203-10-1234'</t>
  </si>
  <si>
    <t>Return null (no error)</t>
  </si>
  <si>
    <t>Returned null</t>
  </si>
  <si>
    <t>Medium</t>
  </si>
  <si>
    <t>FR-04</t>
  </si>
  <si>
    <t>UT-06</t>
  </si>
  <si>
    <t>Invalid month (13)</t>
  </si>
  <si>
    <t>Input: '011303-10-1234'</t>
  </si>
  <si>
    <t>Return error string: 'Invalid IC: month must be 01-12'</t>
  </si>
  <si>
    <t>Correct error message returned</t>
  </si>
  <si>
    <t>UT-07</t>
  </si>
  <si>
    <t>Impossible date (Feb 30)</t>
  </si>
  <si>
    <t>Input: '010230-10-1234'</t>
  </si>
  <si>
    <t>Return error string: 'Invalid IC: February day must be 01-29'</t>
  </si>
  <si>
    <t>UT-08</t>
  </si>
  <si>
    <t>Missing hyphen format</t>
  </si>
  <si>
    <t>Input: '01023010-1234'</t>
  </si>
  <si>
    <t>Return error string: 'IC must follow format XXXXXX-XXXXXX'</t>
  </si>
  <si>
    <t>UT-09</t>
  </si>
  <si>
    <t>normalizeMYPhone()</t>
  </si>
  <si>
    <t>Valid 10-digit input</t>
  </si>
  <si>
    <t>Input: '0123456789'</t>
  </si>
  <si>
    <t>Return E.164 object: { value: '+60123456789' }</t>
  </si>
  <si>
    <t>Correct E.164 object returned</t>
  </si>
  <si>
    <t>UT-10</t>
  </si>
  <si>
    <t>Input with +60 prefix</t>
  </si>
  <si>
    <t>Input: '+60123456789'</t>
  </si>
  <si>
    <t>Correct normalisation returned</t>
  </si>
  <si>
    <t>UT-11</t>
  </si>
  <si>
    <t>Valid 011 prefix (11 digits)</t>
  </si>
  <si>
    <t>Input: '01123456789'</t>
  </si>
  <si>
    <t>Return E.164 object: { value: '+601123456789' }</t>
  </si>
  <si>
    <t>UT-12</t>
  </si>
  <si>
    <t>Invalid 011 prefix (9 digits)</t>
  </si>
  <si>
    <t>Input: '011234567'</t>
  </si>
  <si>
    <t>Return error: 'Invalid phone. 011 numbers must be 11 digits'</t>
  </si>
  <si>
    <t>Correct error returned</t>
  </si>
  <si>
    <t>UT-13</t>
  </si>
  <si>
    <t>Invalid country prefix</t>
  </si>
  <si>
    <t>Input: '0312345678'</t>
  </si>
  <si>
    <t>Return error: 'Phone must be a Malaysian mobile number...'</t>
  </si>
  <si>
    <t>UT-14</t>
  </si>
  <si>
    <t>SymptomChecker (Edge Function)</t>
  </si>
  <si>
    <t>Emergency keyword payload</t>
  </si>
  <si>
    <t>Payload: { symptoms: 'chest pain' }</t>
  </si>
  <si>
    <t>Return JSON: { urgency: 'high', emergency: true } in &lt;50ms (Groq bypassed)</t>
  </si>
  <si>
    <t>Returned urgency: high. Logs confirm Groq API bypassed</t>
  </si>
  <si>
    <t>High</t>
  </si>
  <si>
    <t>FR-14</t>
  </si>
  <si>
    <t>UT-15</t>
  </si>
  <si>
    <t>Standard symptom payload</t>
  </si>
  <si>
    <t>Payload: { symptoms: 'headache' }</t>
  </si>
  <si>
    <t>Invoke Groq API, return standard triage response</t>
  </si>
  <si>
    <t>Groq API successfully invoked, normal response returned</t>
  </si>
  <si>
    <t>UT-16</t>
  </si>
  <si>
    <t>Case insensitivity test</t>
  </si>
  <si>
    <t>Payload: { symptoms: 'CHEST PAIN' }</t>
  </si>
  <si>
    <t>Return JSON: { urgency: 'high', emergency: true }</t>
  </si>
  <si>
    <t>Emergency correctly detected despite uppercase</t>
  </si>
  <si>
    <t>UT-17</t>
  </si>
  <si>
    <t>isLocked (Access Logic)</t>
  </si>
  <si>
    <t>Unpaid, fee 50</t>
  </si>
  <si>
    <t>isDoctor: false, status: 'unpaid', fee: 50</t>
  </si>
  <si>
    <t>Evaluate true (medical files locked)</t>
  </si>
  <si>
    <t>Evaluated true, locked state rendered</t>
  </si>
  <si>
    <t>FR-11, FR-12</t>
  </si>
  <si>
    <t>UT-18</t>
  </si>
  <si>
    <t>Paid, fee 50</t>
  </si>
  <si>
    <t>isDoctor: false, status: 'paid', fee: 50</t>
  </si>
  <si>
    <t>Evaluate false (medical files unlocked)</t>
  </si>
  <si>
    <t>Evaluated false, files successfully visible</t>
  </si>
  <si>
    <t>FR-12</t>
  </si>
  <si>
    <t>UT-19</t>
  </si>
  <si>
    <t>Unpaid, fee 0 (zero-fee bypass)</t>
  </si>
  <si>
    <t>isDoctor: false, status: 'unpaid', fee: 0</t>
  </si>
  <si>
    <t>Evaluate false (zero-fee bypass lock)</t>
  </si>
  <si>
    <t>Evaluated false, files visible despite unpaid status</t>
  </si>
  <si>
    <t>UT-20</t>
  </si>
  <si>
    <t>generateTimeSlots()</t>
  </si>
  <si>
    <t>09:00-11:00 with 30-minute slots</t>
  </si>
  <si>
    <t>start: '09:00', end: '11:00', duration: 30</t>
  </si>
  <si>
    <t>Return array of exactly 4 slots, ending at 10:30</t>
  </si>
  <si>
    <t>Returned array: ['09:00', '09:30', '10:00', '10:30']</t>
  </si>
  <si>
    <t>FR-06, FR-07</t>
  </si>
  <si>
    <t>IT-01</t>
  </si>
  <si>
    <t>RegisterPatient → Supabase Auth → profiles DB</t>
  </si>
  <si>
    <t>Submit valid patient registration form with complete demographic data.</t>
  </si>
  <si>
    <t>Row created in auth.users, metadata securely inserted into profiles via DB trigger. Email sent.</t>
  </si>
  <si>
    <t>Dashboard confirmed dual-table insertion. Email received in &lt;30s.</t>
  </si>
  <si>
    <t>FR-02, FR-04</t>
  </si>
  <si>
    <t>IT-02</t>
  </si>
  <si>
    <t>RegisterDoctor → Supabase Auth → profiles DB</t>
  </si>
  <si>
    <t>Submit valid doctor registration form with professional credentials.</t>
  </si>
  <si>
    <t>Row created in profiles with role=doctor and is_verified=false (pending admin approval).</t>
  </si>
  <si>
    <t>Both rows confirmed. Security boolean is_verified correctly set to false.</t>
  </si>
  <si>
    <t>FR-03, FR-05</t>
  </si>
  <si>
    <t>IT-03</t>
  </si>
  <si>
    <t>AuthCallback → exchangeCodeForSession()</t>
  </si>
  <si>
    <t>Click automated email verification link.</t>
  </si>
  <si>
    <t>Session code exchanged, email_confirmed_at populated, followed by graceful signOut() and redirect.</t>
  </si>
  <si>
    <t>Table updated successfully. UI redirected to login with green success banner.</t>
  </si>
  <si>
    <t>FR-02</t>
  </si>
  <si>
    <t>IT-04</t>
  </si>
  <si>
    <t>Login → signInWithPassword() → profiles</t>
  </si>
  <si>
    <t>Submit valid verified patient credentials.</t>
  </si>
  <si>
    <t>JWT session created, database queried for role routing, user redirected to /dashboard/patient.</t>
  </si>
  <si>
    <t>Correct database role fetched. Patient dashboard loaded successfully.</t>
  </si>
  <si>
    <t>FR-01</t>
  </si>
  <si>
    <t>IT-05</t>
  </si>
  <si>
    <t>Supabase RLS (Cross-User Security)</t>
  </si>
  <si>
    <t>Attempt unauthorized GET on appointments table using curl and anon key for a different user's ID.</t>
  </si>
  <si>
    <t>Return 0 rows. Row Level Security (RLS) policies strict block based on auth.uid().</t>
  </si>
  <si>
    <t>curl returned empty data array. No unauthorized medical data exposed.</t>
  </si>
  <si>
    <t>NFR: Data Security</t>
  </si>
  <si>
    <t>IT-06</t>
  </si>
  <si>
    <t>BookAppointment → get_booked_slots RPC</t>
  </si>
  <si>
    <t>Select a calendar date with known existing bookings.</t>
  </si>
  <si>
    <t>Stored procedure returns array of booked times. UI strictly renders those slots as disabled.</t>
  </si>
  <si>
    <t>Booked slots correctly fetched. UI buttons rendered grey/disabled.</t>
  </si>
  <si>
    <t>IT-07</t>
  </si>
  <si>
    <t>BookAppointment → DB INSERT</t>
  </si>
  <si>
    <t>Submit a valid new appointment booking.</t>
  </si>
  <si>
    <t>Row inserted into appointments (pending). Notification row inserted for the target doctor.</t>
  </si>
  <si>
    <t>Both row insertions confirmed in Supabase Table Editor.</t>
  </si>
  <si>
    <t>IT-08</t>
  </si>
  <si>
    <t>Realtime WebSocket → GlobalNotification</t>
  </si>
  <si>
    <t>Insert row into notifications via SQL Editor while patient browser is active.</t>
  </si>
  <si>
    <t>WebSocket callback fires in &lt;2 seconds. Toast notification actively renders on client UI.</t>
  </si>
  <si>
    <t>Toast rendered in &lt;1 second. Payload data matched SQL insertion.</t>
  </si>
  <si>
    <t>FR-16</t>
  </si>
  <si>
    <t>IT-09</t>
  </si>
  <si>
    <t>ConsultationRoom → Realtime Chat</t>
  </si>
  <si>
    <t>Doctor submits chat message while both users are in the active room.</t>
  </si>
  <si>
    <t>Message inserted to DB. Patient's WebSocket subscription fires, updating DOM without HTTP refresh.</t>
  </si>
  <si>
    <t>Message successfully appeared in patient's DOM in &lt;1 second.</t>
  </si>
  <si>
    <t>FR-10</t>
  </si>
  <si>
    <t>IT-10</t>
  </si>
  <si>
    <t>SymptomChecker Edge Function → Groq API</t>
  </si>
  <si>
    <t>POST standard symptoms (headache, nausea) to Edge Function via client.</t>
  </si>
  <si>
    <t>Edge Function securely calls Llama-3.1 API, returning structured JSON triage data.</t>
  </si>
  <si>
    <t>Valid JSON response returned containing 3 conditions and 'moderate' urgency.</t>
  </si>
  <si>
    <t>IT-11</t>
  </si>
  <si>
    <t>SymptomChecker Edge Function (Emergency)</t>
  </si>
  <si>
    <t>POST emergency keywords (chest pain) to Edge Function.</t>
  </si>
  <si>
    <t>System bypasses LLM entirely. Returns high urgency JSON payload in &lt;50ms.</t>
  </si>
  <si>
    <t>Response captured in 38ms. Server logs confirm Groq API was bypassed.</t>
  </si>
  <si>
    <t>IT-12</t>
  </si>
  <si>
    <t>ConditionExplainer Edge Function → Groq</t>
  </si>
  <si>
    <t>POST medical condition string (Viral Gastroenteritis).</t>
  </si>
  <si>
    <t>LLM returns plain-language explanation constrained to maximum 3 sentences.</t>
  </si>
  <si>
    <t>3-sentence summary returned and accurately mapped to UI condition card.</t>
  </si>
  <si>
    <t>FR-15</t>
  </si>
  <si>
    <t>IT-13</t>
  </si>
  <si>
    <t>create-checkout Edge Function → Stripe</t>
  </si>
  <si>
    <t>Client triggers 'Pay Consultation Fee' (RM 50.00).</t>
  </si>
  <si>
    <t>Stripe generates MYR checkout session, embeds appointmentId in metadata, returns URL.</t>
  </si>
  <si>
    <t>Stripe Developer Dashboard confirmed test session. UI redirected successfully.</t>
  </si>
  <si>
    <t>FR-13</t>
  </si>
  <si>
    <t>IT-14</t>
  </si>
  <si>
    <t>stripe-webhook Edge Function (Valid)</t>
  </si>
  <si>
    <t>Complete payment on Stripe hosted UI using test card (4242...).</t>
  </si>
  <si>
    <t>Stripe pings webhook. Server verifies signature, elevates privileges, updates DB payment_status to paid.</t>
  </si>
  <si>
    <t>Webhook 200 OK. Supabase DB confirmed payment_status successfully updated.</t>
  </si>
  <si>
    <t>IT-15</t>
  </si>
  <si>
    <t>stripe-webhook Edge Function (Invalid)</t>
  </si>
  <si>
    <t>Send forged POST to webhook URL via curl (invalid signature header).</t>
  </si>
  <si>
    <t>Signature verification throws error. HTTP 400 returned. DB strictly rejects update.</t>
  </si>
  <si>
    <t>curl returned HTTP 400. payment_status remained unchanged/secure.</t>
  </si>
  <si>
    <t>IT-16</t>
  </si>
  <si>
    <t>get-turn Edge Function → Cloudflare</t>
  </si>
  <si>
    <t>Call Edge Function from WebRTC UI with valid Supabase JWT Bearer token.</t>
  </si>
  <si>
    <t>JWT verified. Cloudflare API called. ICE server config (TURN/STUN URLs) safely returned.</t>
  </si>
  <si>
    <t>ICE credentials successfully injected into client RTCPeerConnection config.</t>
  </si>
  <si>
    <t>FR-09</t>
  </si>
  <si>
    <t>IT-17</t>
  </si>
  <si>
    <t>get-turn Edge Function (Unauthenticated)</t>
  </si>
  <si>
    <t>Call Edge Function with stripped/missing Authorization header.</t>
  </si>
  <si>
    <t>Immediate JWT validation failure. HTTP 400 Unauthorized returned. Cloudflare API blocked.</t>
  </si>
  <si>
    <t>HTTP 400 returned. Edge logs confirm Cloudflare API was not triggered.</t>
  </si>
  <si>
    <t>FR-09, NFR: Data Security</t>
  </si>
  <si>
    <t>IT-18</t>
  </si>
  <si>
    <t>Custom WebRTC → webrtc_signals DB</t>
  </si>
  <si>
    <t>Doctor initiates call, creating SDP offer inserted into signaling table.</t>
  </si>
  <si>
    <t>Patient's realtime listener detects offer, generates answer, inserts back to DB. Handshake completes.</t>
  </si>
  <si>
    <t>Video streams successfully connected. Verified data traversal across NAT network.</t>
  </si>
  <si>
    <t>IT-19</t>
  </si>
  <si>
    <t>DB Webhook → Firebase FCM (Valid)</t>
  </si>
  <si>
    <t>Insert DB notification for a user possessing a valid fcm_token.</t>
  </si>
  <si>
    <t>DB triggers send-fcm function. Firebase Admin SDK broadcasts payload to user's device.</t>
  </si>
  <si>
    <t>Push notification delivered to test device. Edge logs confirmed success.</t>
  </si>
  <si>
    <t>IT-20</t>
  </si>
  <si>
    <t>DB Webhook → Firebase FCM (No Token)</t>
  </si>
  <si>
    <t>Insert DB notification for a user without browser notification permissions.</t>
  </si>
  <si>
    <t>Function reads null token, aborts gracefully with HTTP 200 to prevent Webhook retries.</t>
  </si>
  <si>
    <t>Function logged 'No token found, skipped'. Application did not crash.</t>
  </si>
  <si>
    <t>PARTIAL FAIL</t>
  </si>
  <si>
    <t>IT-21</t>
  </si>
  <si>
    <t>get-health-news Edge Function → Mediastack</t>
  </si>
  <si>
    <t>Navigate to /articles, triggering GET to the aggregation function.</t>
  </si>
  <si>
    <t>Mediastack REST API called. Payload cleaned, standardized, and returned to client.</t>
  </si>
  <si>
    <t>6 standardized articles successfully rendered with accurate metadata.</t>
  </si>
  <si>
    <t>FR-19</t>
  </si>
  <si>
    <t>IT-22</t>
  </si>
  <si>
    <t>Firebase SDK → Frontend → Supabase DB</t>
  </si>
  <si>
    <t>Patient logs in and grants browser notification permissions.</t>
  </si>
  <si>
    <t>Firebase provisions token. React strictly executes DB UPDATE to save token to profiles table.</t>
  </si>
  <si>
    <t>Table Editor confirmed fcm_token successfully populated for user.</t>
  </si>
  <si>
    <t>ST-01</t>
  </si>
  <si>
    <t>Patient workflow</t>
  </si>
  <si>
    <t>Patient Registration &amp; Email Verification</t>
  </si>
  <si>
    <t>1. Navigate to /register/patient.
2. Fill all fields (valid IC, 01X phone, matching passwords).
3. Submit and click email verification link.</t>
  </si>
  <si>
    <t>Account created. Code exchanged. Sign-out executed automatically. Redirect to /login with success banner.</t>
  </si>
  <si>
    <t>Account created. Email received in &lt;45s. Green banner displayed on login.</t>
  </si>
  <si>
    <t>ST-02</t>
  </si>
  <si>
    <t>Patient Registration (Validation Errors)</t>
  </si>
  <si>
    <t>1. Submit form with invalid IC (999999-99-9999), invalid phone (0312345678), and mismatched passwords.</t>
  </si>
  <si>
    <t>Form displays appropriate UI error messages. Submission strictly blocked until fields are valid.</t>
  </si>
  <si>
    <t>UI rendered correct error strings for IC, phone, and password match.</t>
  </si>
  <si>
    <t>ST-03</t>
  </si>
  <si>
    <t>Patient Login &amp; Dashboard State</t>
  </si>
  <si>
    <t>1. Navigate to /login.
2. Enter valid patient credentials and submit.</t>
  </si>
  <si>
    <t>Profile fetched (role=patient). Redirected to /dashboard/patient. Upcoming appointments and UI avatar loaded. FCM token updated in DB.</t>
  </si>
  <si>
    <t>Dashboard loaded correctly. Supabase confirmed fcm_token update.</t>
  </si>
  <si>
    <t>ST-04</t>
  </si>
  <si>
    <t>Patient Login (Invalid Credentials)</t>
  </si>
  <si>
    <t>1. Enter correct email but incorrect password and submit.</t>
  </si>
  <si>
    <t>UI error banner appears. User remains safely on /login. No unauthorized redirects.</t>
  </si>
  <si>
    <t>Error banner rendered with Supabase Auth message.</t>
  </si>
  <si>
    <t>ST-05</t>
  </si>
  <si>
    <t>Browse Provider Directory</t>
  </si>
  <si>
    <t>1. Navigate to doctors.
2. View provider cards.
3. Click specific doctor profile.</t>
  </si>
  <si>
    <t>Directory exclusively renders verified doctors (is_verified=true). Profile page loads bio, Leaflet map, and reviews.</t>
  </si>
  <si>
    <t>Directory correctly filtered. Profile page loaded with functional map.</t>
  </si>
  <si>
    <t>FR-03</t>
  </si>
  <si>
    <t>ST-06</t>
  </si>
  <si>
    <t>Book Appointment (Valid Flow)</t>
  </si>
  <si>
    <t>1. Click 'Book Appointment'.
2. Select future date and available slot.
3. Enter reason and submit.</t>
  </si>
  <si>
    <t>DB inserts pending appointment. WebSocket fires toast to target Doctor. Patient redirected to /appointments/patient.</t>
  </si>
  <si>
    <t>Row inserted. Doctor received toast in &lt;1s. Patient redirect successful. (See Appendix A.5)</t>
  </si>
  <si>
    <t>ST-07</t>
  </si>
  <si>
    <t>Book Appointment (No Availability)</t>
  </si>
  <si>
    <t>1. Select a date where the doctor has no availability matrix configured.</t>
  </si>
  <si>
    <t>Slot grid renders 0 slots. UI displays: "Doctor is not available on this day."</t>
  </si>
  <si>
    <t>Correct UI fallback message displayed. No slots rendered. (See Appendix A.6)</t>
  </si>
  <si>
    <t>ST-08</t>
  </si>
  <si>
    <t>Filter Patient Appointments</t>
  </si>
  <si>
    <t>1. Navigate to /appointments/patient.
2. Toggle between All, Confirmed, and Completed tabs.</t>
  </si>
  <si>
    <t>Array strictly filtered by status. UI badges accurately map to DB values (amber, green, blue).</t>
  </si>
  <si>
    <t>Tab filters operational. UI badges match DB statuses perfectly.</t>
  </si>
  <si>
    <t>ST-09</t>
  </si>
  <si>
    <t>Consultation Gatekeeping (Unpaid)</t>
  </si>
  <si>
    <t>1. Click 'Enter Room' on a confirmed appointment.</t>
  </si>
  <si>
    <t>Room loads. Medical record panel is visibly locked (if fee &gt; 0 and unpaid). Video call button initialized.</t>
  </si>
  <si>
    <t>Room loaded. Notes securely locked behind payment UI. (See Appendix A.7)</t>
  </si>
  <si>
    <t>FR-10, FR-12</t>
  </si>
  <si>
    <t>ST-10</t>
  </si>
  <si>
    <t>Stripe Consultation Payment</t>
  </si>
  <si>
    <t>1. Click 'Pay Fee' (RM 50).
2. Enter Stripe test card (4242...) and submit.</t>
  </si>
  <si>
    <t>Redirected to Stripe checkout. Webhook securely updates DB payment_status=paid. Medical notes unlock in UI.</t>
  </si>
  <si>
    <t>Stripe test payment successful. DB updated. Notes instantly unlocked. (See Appendix A.8)</t>
  </si>
  <si>
    <t>FR-12, FR-13</t>
  </si>
  <si>
    <t>ST-11</t>
  </si>
  <si>
    <t>Post-Care Rating &amp; Review</t>
  </si>
  <si>
    <t>1. Post-consultation, click 5-star rating.
2. Enter feedback and submit.</t>
  </si>
  <si>
    <t>Row inserted into patient_reviews. Doctor's aggregated average rating mathematically updated on profile.</t>
  </si>
  <si>
    <t>Review persisted to DB. Live rating updated on Doctor profile. (See Appendix A.9)</t>
  </si>
  <si>
    <t>FR-17</t>
  </si>
  <si>
    <t>ST-12</t>
  </si>
  <si>
    <t>Doctor workflow</t>
  </si>
  <si>
    <t>Doctor Registration (Pending State)</t>
  </si>
  <si>
    <t>1. Submit valid doctor registration form.
2. Verify email.
3. Attempt to access /dashboard/doctor.</t>
  </si>
  <si>
    <t>Account created with is_verified=false. Dashboard access blocked. Redirected to /pending-approval state.</t>
  </si>
  <si>
    <t>Account successfully locked. RoleRoute blocked access. Redirect confirmed.</t>
  </si>
  <si>
    <t>ST-13</t>
  </si>
  <si>
    <t>Doctor Login (Post-Approval)</t>
  </si>
  <si>
    <t>1. Admin sets is_verified=true.
2. Doctor logs in.</t>
  </si>
  <si>
    <t>RoleRoute authorizes access. Redirected securely to /dashboard/doctor. All features unlocked.</t>
  </si>
  <si>
    <t>Dashboard successfully loaded post-approval.</t>
  </si>
  <si>
    <t>FR-01, FR-03</t>
  </si>
  <si>
    <t>ST-14</t>
  </si>
  <si>
    <t>Set Weekly Availability</t>
  </si>
  <si>
    <t>1. Toggle Monday ON.
2. Set 09:00 to 17:00 (30m slots).
3. Save Schedule.</t>
  </si>
  <si>
    <t>DB delete/insert pattern executes. Patient booking UI dynamically updates to render new Monday slots.</t>
  </si>
  <si>
    <t>DB successfully updated. Slots rendered instantly on patient view.</t>
  </si>
  <si>
    <t>FR-07</t>
  </si>
  <si>
    <t>ST-15</t>
  </si>
  <si>
    <t>Confirm Appointment</t>
  </si>
  <si>
    <t>1. View pending request.
2. Click 'Confirm'.</t>
  </si>
  <si>
    <t>DB status strictly updated to confirmed. WebSocket fires real-time success toast to Patient.</t>
  </si>
  <si>
    <t>DB updated. Patient received toast notification in &lt;1s.</t>
  </si>
  <si>
    <t>FR-08</t>
  </si>
  <si>
    <t>ST-16</t>
  </si>
  <si>
    <t>Reject Appointment</t>
  </si>
  <si>
    <t>1. View pending request.
2. Click 'Reject'.</t>
  </si>
  <si>
    <t>DB status strictly updated to rejected. Patient safely notified via WebSocket.</t>
  </si>
  <si>
    <t>DB updated. Patient received rejection notification.</t>
  </si>
  <si>
    <t>ST-17</t>
  </si>
  <si>
    <t>Search Appointments</t>
  </si>
  <si>
    <t>1. Type patient name in search bar.
2. Toggle status tabs.</t>
  </si>
  <si>
    <t>Array strictly filtered. Search matches patient_name string. Tab counters dynamically update.</t>
  </si>
  <si>
    <t>Search and tab filters operational concurrently.</t>
  </si>
  <si>
    <t>ST-18</t>
  </si>
  <si>
    <t>WebRTC Initialization</t>
  </si>
  <si>
    <t>1. In active room, click 'Join Video Call'.
2. Grant browser media permissions.</t>
  </si>
  <si>
    <t>Cloudflare TURN fetched. Local stream captured. SDP offer generated and inserted into webrtc_signals.</t>
  </si>
  <si>
    <t>Local video rendered. DB offer inserted. UI status updated.</t>
  </si>
  <si>
    <t>ST-19</t>
  </si>
  <si>
    <t>Full WebRTC Video Handshake</t>
  </si>
  <si>
    <t>1. Doctor starts call.
2. Patient clicks 'Join'.
3. ICE candidates exchanged via Realtime.</t>
  </si>
  <si>
    <t>RTCPeerConnection established natively. Remote video streams render for both users. Two-way audio active.</t>
  </si>
  <si>
    <t>Two-way audio/video confirmed over NAT network. remoteConnected=true.</t>
  </si>
  <si>
    <t>ST-20</t>
  </si>
  <si>
    <t>Write Medical Records</t>
  </si>
  <si>
    <t>1. Fill all clinical fields (symptoms, diagnosis, Rx) and Doctor Private Notes.
2. Save.</t>
  </si>
  <si>
    <t>All fields persisted to consultation_records. Private notes strictly hidden from patient UI view.</t>
  </si>
  <si>
    <t>Data persisted. Private notes successfully concealed from Patient.</t>
  </si>
  <si>
    <t>FR-11</t>
  </si>
  <si>
    <t>ST-21</t>
  </si>
  <si>
    <t>Terminate Consultation</t>
  </si>
  <si>
    <t>1. Doctor clicks 'End Consultation' and confirms.</t>
  </si>
  <si>
    <t>WebRTC teardown signal sent. appointments.status set to completed. ended_at timestamp recorded.</t>
  </si>
  <si>
    <t>Handshake terminated cleanly. Both UIs transitioned to completed state.</t>
  </si>
  <si>
    <t>ST-22</t>
  </si>
  <si>
    <t>View Analytics Dashboard</t>
  </si>
  <si>
    <t>1. Navigate to /analytics/doctor.</t>
  </si>
  <si>
    <t>SVG Donut Chart accurately renders aggregate statistics (completed vs cancelled). Revenue metrics fetched.</t>
  </si>
  <si>
    <t>Data visualizations rendered correctly with raw DB aggregate data.</t>
  </si>
  <si>
    <t>FR-18</t>
  </si>
  <si>
    <t>ST-23</t>
  </si>
  <si>
    <t>Admin &amp; shared</t>
  </si>
  <si>
    <t>Admin Approves Provider</t>
  </si>
  <si>
    <t>1. Login as Admin.
2. View pending doctors.
3. Click 'Approve' on target doctor.</t>
  </si>
  <si>
    <t>profiles.is_verified boolean set to true. Doctor instantly removed from pending UI. Target doctor gains platform access.</t>
  </si>
  <si>
    <t>DB updated. UI state refreshed without HTTP reload. Target doctor successfully logged in.</t>
  </si>
  <si>
    <t>FR-01, FR-03, FR-20</t>
  </si>
  <si>
    <t>ST-24</t>
  </si>
  <si>
    <t>Secure Route Guarding</t>
  </si>
  <si>
    <t>1. Unauthenticated -&gt; /dashboard/patient.
2. Patient -&gt; /dashboard/doctor.
3. Patient -&gt; /dashboard/admin.</t>
  </si>
  <si>
    <t>System safely rejects all unauthorized paths. Users strictly redirected to /login or correct role dashboard.</t>
  </si>
  <si>
    <t>All redirects successfully caught by RoleRoute components. No data leaked.</t>
  </si>
  <si>
    <t>ST-25</t>
  </si>
  <si>
    <t>Global Notification Centre</t>
  </si>
  <si>
    <t>1. Navigate to /notifications as a patient.</t>
  </si>
  <si>
    <t>Full history rendered. UI icons map to payload type. RLS strictly ensures only the active user's notifications are fetched.</t>
  </si>
  <si>
    <t>Notifications rendered accurately. RLS prevented cross-user data spillage.</t>
  </si>
  <si>
    <t>AT-01</t>
  </si>
  <si>
    <t>Acceptance (requirement check)</t>
  </si>
  <si>
    <t>Multi-Role Architecture</t>
  </si>
  <si>
    <t>Authenticated as each distinct role and verified correct routing. Attempted malicious cross-role navigation to ensure unauthorized access was explicitly blocked.</t>
  </si>
  <si>
    <t>Requirement: The platform must support Patients, Doctors, and Admins with distinct UI dashboards and strict access isolation.</t>
  </si>
  <si>
    <t>Result recorded as PASS in report (Table C.6). Verification method is in the Steps / Input column.</t>
  </si>
  <si>
    <t>AT-02</t>
  </si>
  <si>
    <t>Provider Verification Gate</t>
  </si>
  <si>
    <t>Registered a mock doctor account. Confirmed /dashboard/doctor was inaccessible. Admin subsequently approved the account, and system access was dynamically granted.</t>
  </si>
  <si>
    <t>Requirement: Doctors must be restricted from accessing the telehealth platform until their credentials are mathematically verified by an Admin.</t>
  </si>
  <si>
    <t>FR-03, FR-20</t>
  </si>
  <si>
    <t>AT-03</t>
  </si>
  <si>
    <t>Deterministic Scheduling</t>
  </si>
  <si>
    <t>Simulated booking an available slot. Confirmed the UI updated to remove the slot from the grid. Confirmed the get_booked_slots RPC actively blocked subsequent identical requests.</t>
  </si>
  <si>
    <t>Requirement: Patients can only book mathematically available time slots. Double-booking must be strictly prevented at the database level.</t>
  </si>
  <si>
    <t>AT-04</t>
  </si>
  <si>
    <t>Native Telehealth Video</t>
  </si>
  <si>
    <t>Initiated WebRTC call between Doctor and Patient. Confirmed native RTCPeerConnection success across a strict NAT network utilizing Cloudflare TURN servers.</t>
  </si>
  <si>
    <t>Requirement: The system must facilitate peer-to-peer video consultations without relying on expensive, third-party video SDKs (e.g., Zoom/Twilio).</t>
  </si>
  <si>
    <t>AT-05</t>
  </si>
  <si>
    <t>Financial Gatekeeping</t>
  </si>
  <si>
    <t>Verified isLocked=true state prior to payment. Completed Stripe mock payment. Confirmed webhook asynchronously updated payment_status to instantly unlock UI records.</t>
  </si>
  <si>
    <t>Requirement: Patient medical records must remain cryptographically locked from the provider until the consultation fee is paid via Stripe.</t>
  </si>
  <si>
    <t>AT-06</t>
  </si>
  <si>
    <t>AI Triage &amp; Emergency Bypass</t>
  </si>
  <si>
    <t>Submitted standard symptoms (LLM invoked). Submitted critical emergency keywords (LLM successfully bypassed for &lt;50ms response time). Tested condition explainer logic.</t>
  </si>
  <si>
    <t>Requirement: The system must provide AI-driven medical categorization, while instantly bypassing the AI if critical emergency keywords are detected.</t>
  </si>
  <si>
    <t>FR-14, FR-15</t>
  </si>
  <si>
    <t>AT-07</t>
  </si>
  <si>
    <t>Dual-Path Notifications</t>
  </si>
  <si>
    <t>Inserted DB notification payloads. Confirmed Realtime toast delivered to active browser. Confirmed FCM Service Worker delivered push notification to background device.</t>
  </si>
  <si>
    <t>Requirement: The system must notify users instantly via WebSockets if the app is open, and via FCM Push Notifications if the app is closed.</t>
  </si>
  <si>
    <t>AT-08</t>
  </si>
  <si>
    <t>Zero-Trust Security</t>
  </si>
  <si>
    <t>Executed cross-user API calls with standard JWTs, sent forged Stripe signatures to Webhook, and requested TURN credentials with stripped Auth headers.</t>
  </si>
  <si>
    <t>Requirement: All sensitive endpoints (APIs, Database, Webhooks) must actively reject unauthenticated or forged access attempts.</t>
  </si>
  <si>
    <t>Req ID</t>
  </si>
  <si>
    <t>Functional requirement</t>
  </si>
  <si>
    <t>Status (report)</t>
  </si>
  <si>
    <t>Separate User Roles &amp; Dashboards</t>
  </si>
  <si>
    <t>Achieved</t>
  </si>
  <si>
    <t>ST-03, ST-13, ST-23, ST-24, AT-01</t>
  </si>
  <si>
    <t>Email Verification</t>
  </si>
  <si>
    <t>ST-01, ST-02, IT-03</t>
  </si>
  <si>
    <t>Doctor Account Approval</t>
  </si>
  <si>
    <t>ST-12, ST-13, ST-23, AT-02</t>
  </si>
  <si>
    <t>Patient Registration &amp; Form Validation</t>
  </si>
  <si>
    <t>ST-01, ST-02, UT-05 to UT-13</t>
  </si>
  <si>
    <t>FR-05</t>
  </si>
  <si>
    <t>Doctor Registration</t>
  </si>
  <si>
    <t>Appointment Booking &amp; Preventing Double-Booking</t>
  </si>
  <si>
    <t>ST-06, ST-07, IT-06, IT-07, AT-03</t>
  </si>
  <si>
    <t>Doctor Availability Settings</t>
  </si>
  <si>
    <t>Approve/Reject Appointments</t>
  </si>
  <si>
    <t>ST-15, ST-16</t>
  </si>
  <si>
    <t>Video Consultations</t>
  </si>
  <si>
    <t>ST-18, ST-19, IT-18, AT-04</t>
  </si>
  <si>
    <t>Live Consultation Chat</t>
  </si>
  <si>
    <t>ST-09, IT-09</t>
  </si>
  <si>
    <t>Medical Records</t>
  </si>
  <si>
    <t>ST-20, UT-17</t>
  </si>
  <si>
    <t>Locked Medical Notes</t>
  </si>
  <si>
    <t>ST-09, ST-10, UT-17 to UT-19, AT-05</t>
  </si>
  <si>
    <t>Stripe Payments</t>
  </si>
  <si>
    <t>ST-10, IT-13 to IT-15, AT-05</t>
  </si>
  <si>
    <t>AI Symptom Checker</t>
  </si>
  <si>
    <t>IT-10, IT-11, UT-14 to UT-16, AT-06</t>
  </si>
  <si>
    <t>AI Condition Explainer</t>
  </si>
  <si>
    <t>IT-12, AT-06</t>
  </si>
  <si>
    <t>Push Notifications</t>
  </si>
  <si>
    <t>IT-08, IT-19, IT-20, AT-07</t>
  </si>
  <si>
    <t>Doctor Ratings &amp; Reviews</t>
  </si>
  <si>
    <t>Doctor Analytics</t>
  </si>
  <si>
    <t>Health News Feed</t>
  </si>
  <si>
    <t>FR-20</t>
  </si>
  <si>
    <t>Admin Dashboard</t>
  </si>
  <si>
    <t>ST-23, AT-02</t>
  </si>
  <si>
    <t>Report : 75 total, 74 passed, 1 partial (98.7%).</t>
  </si>
  <si>
    <t xml:space="preserve">Manual / Automated </t>
  </si>
  <si>
    <t>Low / Medium / High</t>
  </si>
  <si>
    <t xml:space="preserve">FR-01 to FR-20 </t>
  </si>
  <si>
    <t>Stated</t>
  </si>
  <si>
    <t>FYP - HealthConnect Test Suite: Summary</t>
  </si>
  <si>
    <t xml:space="preserve">Test 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</si>
</sst>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theme="0"/>
        <bgColor rgb="FF33333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0" fillId="0" borderId="0" xfId="0" applyBorder="1"/>
  </cellXfs>
  <cellStyles count="1">
    <cellStyle name="Normal" xfId="0" builtinId="0"/>
  </cellStyles>
  <dxfs count="3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10" zoomScaleNormal="100" workbookViewId="0">
      <selection activeCell="H6" sqref="H6"/>
    </sheetView>
  </sheetViews>
  <sheetFormatPr defaultColWidth="8.6640625" defaultRowHeight="14.4" x14ac:dyDescent="0.3"/>
  <cols>
    <col min="1" max="1" width="16" customWidth="1"/>
    <col min="2" max="3" width="10" customWidth="1"/>
    <col min="4" max="4" width="16" customWidth="1"/>
    <col min="5" max="5" width="11" customWidth="1"/>
    <col min="6" max="6" width="12" customWidth="1"/>
    <col min="7" max="7" width="10" customWidth="1"/>
    <col min="8" max="8" width="12" customWidth="1"/>
  </cols>
  <sheetData>
    <row r="1" spans="1:8" ht="17.399999999999999" x14ac:dyDescent="0.3">
      <c r="A1" s="1" t="s">
        <v>478</v>
      </c>
    </row>
    <row r="2" spans="1:8" x14ac:dyDescent="0.3">
      <c r="A2" s="2"/>
    </row>
    <row r="4" spans="1:8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14"/>
    </row>
    <row r="5" spans="1:8" x14ac:dyDescent="0.3">
      <c r="A5" s="4" t="s">
        <v>7</v>
      </c>
      <c r="B5" s="5">
        <f>COUNTIFS('Test Cases'!$B$2:$B$76,$A5)</f>
        <v>20</v>
      </c>
      <c r="C5" s="5">
        <f>COUNTIFS('Test Cases'!$B$2:$B$76,$A5,'Test Cases'!$H$2:$H$76,"PASS")</f>
        <v>20</v>
      </c>
      <c r="D5" s="5">
        <f>B5-C5</f>
        <v>0</v>
      </c>
      <c r="E5" s="6">
        <f>IF(B5=0,0,C5/B5)</f>
        <v>1</v>
      </c>
      <c r="F5" s="5">
        <f>COUNTIFS('Test Cases'!$B$2:$B$76,$A5,'Test Cases'!$I$2:$I$76,"Automated")</f>
        <v>20</v>
      </c>
      <c r="G5" s="5">
        <f>COUNTIFS('Test Cases'!$B$2:$B$76,$A5,'Test Cases'!$I$2:$I$76,"Manual")</f>
        <v>0</v>
      </c>
      <c r="H5" s="14"/>
    </row>
    <row r="6" spans="1:8" x14ac:dyDescent="0.3">
      <c r="A6" s="4" t="s">
        <v>8</v>
      </c>
      <c r="B6" s="5">
        <f>COUNTIFS('Test Cases'!$B$2:$B$76,$A6)</f>
        <v>22</v>
      </c>
      <c r="C6" s="5">
        <f>COUNTIFS('Test Cases'!$B$2:$B$76,$A6,'Test Cases'!$H$2:$H$76,"PASS")</f>
        <v>21</v>
      </c>
      <c r="D6" s="5">
        <f>B6-C6</f>
        <v>1</v>
      </c>
      <c r="E6" s="6">
        <f>IF(B6=0,0,C6/B6)</f>
        <v>0.95454545454545459</v>
      </c>
      <c r="F6" s="5">
        <f>COUNTIFS('Test Cases'!$B$2:$B$76,$A6,'Test Cases'!$I$2:$I$76,"Automated")</f>
        <v>0</v>
      </c>
      <c r="G6" s="5">
        <f>COUNTIFS('Test Cases'!$B$2:$B$76,$A6,'Test Cases'!$I$2:$I$76,"Manual")</f>
        <v>22</v>
      </c>
      <c r="H6" s="14"/>
    </row>
    <row r="7" spans="1:8" x14ac:dyDescent="0.3">
      <c r="A7" s="4" t="s">
        <v>9</v>
      </c>
      <c r="B7" s="5">
        <f>COUNTIFS('Test Cases'!$B$2:$B$76,$A7)</f>
        <v>25</v>
      </c>
      <c r="C7" s="5">
        <f>COUNTIFS('Test Cases'!$B$2:$B$76,$A7,'Test Cases'!$H$2:$H$76,"PASS")</f>
        <v>25</v>
      </c>
      <c r="D7" s="5">
        <f>B7-C7</f>
        <v>0</v>
      </c>
      <c r="E7" s="6">
        <f>IF(B7=0,0,C7/B7)</f>
        <v>1</v>
      </c>
      <c r="F7" s="5">
        <f>COUNTIFS('Test Cases'!$B$2:$B$76,$A7,'Test Cases'!$I$2:$I$76,"Automated")</f>
        <v>0</v>
      </c>
      <c r="G7" s="5">
        <f>COUNTIFS('Test Cases'!$B$2:$B$76,$A7,'Test Cases'!$I$2:$I$76,"Manual")</f>
        <v>25</v>
      </c>
      <c r="H7" s="14"/>
    </row>
    <row r="8" spans="1:8" x14ac:dyDescent="0.3">
      <c r="A8" s="4" t="s">
        <v>10</v>
      </c>
      <c r="B8" s="5">
        <f>COUNTIFS('Test Cases'!$B$2:$B$76,$A8)</f>
        <v>8</v>
      </c>
      <c r="C8" s="5">
        <f>COUNTIFS('Test Cases'!$B$2:$B$76,$A8,'Test Cases'!$H$2:$H$76,"PASS")</f>
        <v>8</v>
      </c>
      <c r="D8" s="5">
        <f>B8-C8</f>
        <v>0</v>
      </c>
      <c r="E8" s="6">
        <f>IF(B8=0,0,C8/B8)</f>
        <v>1</v>
      </c>
      <c r="F8" s="5">
        <f>COUNTIFS('Test Cases'!$B$2:$B$76,$A8,'Test Cases'!$I$2:$I$76,"Automated")</f>
        <v>0</v>
      </c>
      <c r="G8" s="5">
        <f>COUNTIFS('Test Cases'!$B$2:$B$76,$A8,'Test Cases'!$I$2:$I$76,"Manual")</f>
        <v>8</v>
      </c>
      <c r="H8" s="14"/>
    </row>
    <row r="9" spans="1:8" x14ac:dyDescent="0.3">
      <c r="A9" s="7" t="s">
        <v>11</v>
      </c>
      <c r="B9" s="8">
        <f>SUM(B5:B8)</f>
        <v>75</v>
      </c>
      <c r="C9" s="8">
        <f>SUM(C5:C8)</f>
        <v>74</v>
      </c>
      <c r="D9" s="8">
        <f>SUM(D5:D8)</f>
        <v>1</v>
      </c>
      <c r="E9" s="9">
        <f>IF(B9=0,0,C9/B9)</f>
        <v>0.98666666666666669</v>
      </c>
      <c r="F9" s="8">
        <f>SUM(F5:F8)</f>
        <v>20</v>
      </c>
      <c r="G9" s="8">
        <f>SUM(G5:G8)</f>
        <v>55</v>
      </c>
      <c r="H9" s="14"/>
    </row>
    <row r="11" spans="1:8" x14ac:dyDescent="0.3">
      <c r="A11" s="10"/>
    </row>
    <row r="12" spans="1:8" x14ac:dyDescent="0.3">
      <c r="A12" s="11" t="s">
        <v>473</v>
      </c>
    </row>
    <row r="13" spans="1:8" x14ac:dyDescent="0.3">
      <c r="A13" s="10"/>
    </row>
    <row r="15" spans="1:8" x14ac:dyDescent="0.3">
      <c r="A15" s="15" t="s">
        <v>12</v>
      </c>
      <c r="B15" s="18"/>
      <c r="C15" s="18"/>
      <c r="D15" s="18"/>
      <c r="E15" s="18"/>
      <c r="F15" s="18"/>
      <c r="G15" s="18"/>
      <c r="H15" s="18"/>
    </row>
    <row r="16" spans="1:8" ht="39.75" customHeight="1" x14ac:dyDescent="0.3">
      <c r="A16" s="17" t="s">
        <v>13</v>
      </c>
      <c r="B16" s="16" t="s">
        <v>477</v>
      </c>
      <c r="C16" s="16"/>
      <c r="D16" s="16"/>
      <c r="E16" s="16"/>
      <c r="F16" s="16"/>
      <c r="G16" s="16"/>
      <c r="H16" s="16"/>
    </row>
    <row r="17" spans="1:8" ht="39.75" customHeight="1" x14ac:dyDescent="0.3">
      <c r="A17" s="15" t="s">
        <v>14</v>
      </c>
      <c r="B17" s="16" t="s">
        <v>474</v>
      </c>
      <c r="C17" s="16"/>
      <c r="D17" s="16"/>
      <c r="E17" s="16"/>
      <c r="F17" s="16"/>
      <c r="G17" s="16"/>
      <c r="H17" s="16"/>
    </row>
    <row r="18" spans="1:8" ht="39.75" customHeight="1" x14ac:dyDescent="0.3">
      <c r="A18" s="15" t="s">
        <v>15</v>
      </c>
      <c r="B18" s="16" t="s">
        <v>475</v>
      </c>
      <c r="C18" s="16"/>
      <c r="D18" s="16"/>
      <c r="E18" s="16"/>
      <c r="F18" s="16"/>
      <c r="G18" s="16"/>
      <c r="H18" s="16"/>
    </row>
    <row r="19" spans="1:8" ht="39.75" customHeight="1" x14ac:dyDescent="0.3">
      <c r="A19" s="15" t="s">
        <v>16</v>
      </c>
      <c r="B19" s="16" t="s">
        <v>476</v>
      </c>
      <c r="C19" s="16"/>
      <c r="D19" s="16"/>
      <c r="E19" s="16"/>
      <c r="F19" s="16"/>
      <c r="G19" s="16"/>
      <c r="H19" s="16"/>
    </row>
    <row r="20" spans="1:8" ht="39.75" customHeight="1" x14ac:dyDescent="0.3"/>
  </sheetData>
  <mergeCells count="4">
    <mergeCell ref="B16:H16"/>
    <mergeCell ref="B17:H17"/>
    <mergeCell ref="B18:H18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zoomScaleNormal="100" workbookViewId="0">
      <pane xSplit="1" ySplit="1" topLeftCell="F26" activePane="bottomRight" state="frozen"/>
      <selection pane="topRight" activeCell="B1" sqref="B1"/>
      <selection pane="bottomLeft" activeCell="A2" sqref="A2"/>
      <selection pane="bottomRight" activeCell="M75" sqref="M75"/>
    </sheetView>
  </sheetViews>
  <sheetFormatPr defaultColWidth="8.6640625" defaultRowHeight="14.4" x14ac:dyDescent="0.3"/>
  <cols>
    <col min="1" max="1" width="9" customWidth="1"/>
    <col min="2" max="2" width="12" customWidth="1"/>
    <col min="3" max="3" width="28" customWidth="1"/>
    <col min="4" max="4" width="30" customWidth="1"/>
    <col min="5" max="7" width="42" customWidth="1"/>
    <col min="8" max="8" width="13" customWidth="1"/>
    <col min="9" max="9" width="14" customWidth="1"/>
    <col min="10" max="10" width="12" customWidth="1"/>
    <col min="11" max="11" width="18" customWidth="1"/>
    <col min="12" max="12" width="22" customWidth="1"/>
    <col min="13" max="13" width="13" customWidth="1"/>
    <col min="14" max="14" width="48" customWidth="1"/>
  </cols>
  <sheetData>
    <row r="1" spans="1:11" ht="31.5" customHeight="1" x14ac:dyDescent="0.3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13</v>
      </c>
      <c r="I1" s="3" t="s">
        <v>14</v>
      </c>
      <c r="J1" s="3" t="s">
        <v>23</v>
      </c>
      <c r="K1" s="3" t="s">
        <v>16</v>
      </c>
    </row>
    <row r="2" spans="1:11" ht="55.5" customHeight="1" x14ac:dyDescent="0.3">
      <c r="A2" s="12" t="s">
        <v>24</v>
      </c>
      <c r="B2" s="12" t="s">
        <v>7</v>
      </c>
      <c r="C2" s="13" t="s">
        <v>25</v>
      </c>
      <c r="D2" s="13" t="s">
        <v>26</v>
      </c>
      <c r="E2" s="13" t="s">
        <v>27</v>
      </c>
      <c r="F2" s="13" t="s">
        <v>28</v>
      </c>
      <c r="G2" s="13" t="s">
        <v>29</v>
      </c>
      <c r="H2" s="12" t="s">
        <v>30</v>
      </c>
      <c r="I2" s="12" t="s">
        <v>5</v>
      </c>
      <c r="J2" s="12" t="s">
        <v>31</v>
      </c>
      <c r="K2" s="13" t="s">
        <v>32</v>
      </c>
    </row>
    <row r="3" spans="1:11" ht="55.5" customHeight="1" x14ac:dyDescent="0.3">
      <c r="A3" s="12" t="s">
        <v>33</v>
      </c>
      <c r="B3" s="12" t="s">
        <v>7</v>
      </c>
      <c r="C3" s="13" t="s">
        <v>25</v>
      </c>
      <c r="D3" s="13" t="s">
        <v>34</v>
      </c>
      <c r="E3" s="13" t="s">
        <v>35</v>
      </c>
      <c r="F3" s="13" t="s">
        <v>36</v>
      </c>
      <c r="G3" s="13" t="s">
        <v>37</v>
      </c>
      <c r="H3" s="12" t="s">
        <v>30</v>
      </c>
      <c r="I3" s="12" t="s">
        <v>5</v>
      </c>
      <c r="J3" s="12" t="s">
        <v>31</v>
      </c>
      <c r="K3" s="13" t="s">
        <v>32</v>
      </c>
    </row>
    <row r="4" spans="1:11" ht="55.5" customHeight="1" x14ac:dyDescent="0.3">
      <c r="A4" s="12" t="s">
        <v>38</v>
      </c>
      <c r="B4" s="12" t="s">
        <v>7</v>
      </c>
      <c r="C4" s="13" t="s">
        <v>25</v>
      </c>
      <c r="D4" s="13" t="s">
        <v>39</v>
      </c>
      <c r="E4" s="13" t="s">
        <v>40</v>
      </c>
      <c r="F4" s="13" t="s">
        <v>41</v>
      </c>
      <c r="G4" s="13" t="s">
        <v>42</v>
      </c>
      <c r="H4" s="12" t="s">
        <v>30</v>
      </c>
      <c r="I4" s="12" t="s">
        <v>5</v>
      </c>
      <c r="J4" s="12" t="s">
        <v>31</v>
      </c>
      <c r="K4" s="13" t="s">
        <v>32</v>
      </c>
    </row>
    <row r="5" spans="1:11" ht="55.5" customHeight="1" x14ac:dyDescent="0.3">
      <c r="A5" s="12" t="s">
        <v>43</v>
      </c>
      <c r="B5" s="12" t="s">
        <v>7</v>
      </c>
      <c r="C5" s="13" t="s">
        <v>25</v>
      </c>
      <c r="D5" s="13" t="s">
        <v>44</v>
      </c>
      <c r="E5" s="13" t="s">
        <v>45</v>
      </c>
      <c r="F5" s="13" t="s">
        <v>46</v>
      </c>
      <c r="G5" s="13" t="s">
        <v>47</v>
      </c>
      <c r="H5" s="12" t="s">
        <v>30</v>
      </c>
      <c r="I5" s="12" t="s">
        <v>5</v>
      </c>
      <c r="J5" s="12" t="s">
        <v>31</v>
      </c>
      <c r="K5" s="13" t="s">
        <v>32</v>
      </c>
    </row>
    <row r="6" spans="1:11" ht="42.75" customHeight="1" x14ac:dyDescent="0.3">
      <c r="A6" s="12" t="s">
        <v>48</v>
      </c>
      <c r="B6" s="12" t="s">
        <v>7</v>
      </c>
      <c r="C6" s="13" t="s">
        <v>49</v>
      </c>
      <c r="D6" s="13" t="s">
        <v>50</v>
      </c>
      <c r="E6" s="13" t="s">
        <v>51</v>
      </c>
      <c r="F6" s="13" t="s">
        <v>52</v>
      </c>
      <c r="G6" s="13" t="s">
        <v>53</v>
      </c>
      <c r="H6" s="12" t="s">
        <v>30</v>
      </c>
      <c r="I6" s="12" t="s">
        <v>5</v>
      </c>
      <c r="J6" s="12" t="s">
        <v>54</v>
      </c>
      <c r="K6" s="13" t="s">
        <v>55</v>
      </c>
    </row>
    <row r="7" spans="1:11" ht="42.75" customHeight="1" x14ac:dyDescent="0.3">
      <c r="A7" s="12" t="s">
        <v>56</v>
      </c>
      <c r="B7" s="12" t="s">
        <v>7</v>
      </c>
      <c r="C7" s="13" t="s">
        <v>49</v>
      </c>
      <c r="D7" s="13" t="s">
        <v>57</v>
      </c>
      <c r="E7" s="13" t="s">
        <v>58</v>
      </c>
      <c r="F7" s="13" t="s">
        <v>59</v>
      </c>
      <c r="G7" s="13" t="s">
        <v>60</v>
      </c>
      <c r="H7" s="12" t="s">
        <v>30</v>
      </c>
      <c r="I7" s="12" t="s">
        <v>5</v>
      </c>
      <c r="J7" s="12" t="s">
        <v>54</v>
      </c>
      <c r="K7" s="13" t="s">
        <v>55</v>
      </c>
    </row>
    <row r="8" spans="1:11" ht="42.75" customHeight="1" x14ac:dyDescent="0.3">
      <c r="A8" s="12" t="s">
        <v>61</v>
      </c>
      <c r="B8" s="12" t="s">
        <v>7</v>
      </c>
      <c r="C8" s="13" t="s">
        <v>49</v>
      </c>
      <c r="D8" s="13" t="s">
        <v>62</v>
      </c>
      <c r="E8" s="13" t="s">
        <v>63</v>
      </c>
      <c r="F8" s="13" t="s">
        <v>64</v>
      </c>
      <c r="G8" s="13" t="s">
        <v>60</v>
      </c>
      <c r="H8" s="12" t="s">
        <v>30</v>
      </c>
      <c r="I8" s="12" t="s">
        <v>5</v>
      </c>
      <c r="J8" s="12" t="s">
        <v>54</v>
      </c>
      <c r="K8" s="13" t="s">
        <v>55</v>
      </c>
    </row>
    <row r="9" spans="1:11" ht="42.75" customHeight="1" x14ac:dyDescent="0.3">
      <c r="A9" s="12" t="s">
        <v>65</v>
      </c>
      <c r="B9" s="12" t="s">
        <v>7</v>
      </c>
      <c r="C9" s="13" t="s">
        <v>49</v>
      </c>
      <c r="D9" s="13" t="s">
        <v>66</v>
      </c>
      <c r="E9" s="13" t="s">
        <v>67</v>
      </c>
      <c r="F9" s="13" t="s">
        <v>68</v>
      </c>
      <c r="G9" s="13" t="s">
        <v>60</v>
      </c>
      <c r="H9" s="12" t="s">
        <v>30</v>
      </c>
      <c r="I9" s="12" t="s">
        <v>5</v>
      </c>
      <c r="J9" s="12" t="s">
        <v>54</v>
      </c>
      <c r="K9" s="13" t="s">
        <v>55</v>
      </c>
    </row>
    <row r="10" spans="1:11" ht="42.75" customHeight="1" x14ac:dyDescent="0.3">
      <c r="A10" s="12" t="s">
        <v>69</v>
      </c>
      <c r="B10" s="12" t="s">
        <v>7</v>
      </c>
      <c r="C10" s="13" t="s">
        <v>70</v>
      </c>
      <c r="D10" s="13" t="s">
        <v>71</v>
      </c>
      <c r="E10" s="13" t="s">
        <v>72</v>
      </c>
      <c r="F10" s="13" t="s">
        <v>73</v>
      </c>
      <c r="G10" s="13" t="s">
        <v>74</v>
      </c>
      <c r="H10" s="12" t="s">
        <v>30</v>
      </c>
      <c r="I10" s="12" t="s">
        <v>5</v>
      </c>
      <c r="J10" s="12" t="s">
        <v>54</v>
      </c>
      <c r="K10" s="13" t="s">
        <v>55</v>
      </c>
    </row>
    <row r="11" spans="1:11" ht="42.75" customHeight="1" x14ac:dyDescent="0.3">
      <c r="A11" s="12" t="s">
        <v>75</v>
      </c>
      <c r="B11" s="12" t="s">
        <v>7</v>
      </c>
      <c r="C11" s="13" t="s">
        <v>70</v>
      </c>
      <c r="D11" s="13" t="s">
        <v>76</v>
      </c>
      <c r="E11" s="13" t="s">
        <v>77</v>
      </c>
      <c r="F11" s="13" t="s">
        <v>73</v>
      </c>
      <c r="G11" s="13" t="s">
        <v>78</v>
      </c>
      <c r="H11" s="12" t="s">
        <v>30</v>
      </c>
      <c r="I11" s="12" t="s">
        <v>5</v>
      </c>
      <c r="J11" s="12" t="s">
        <v>54</v>
      </c>
      <c r="K11" s="13" t="s">
        <v>55</v>
      </c>
    </row>
    <row r="12" spans="1:11" ht="42.75" customHeight="1" x14ac:dyDescent="0.3">
      <c r="A12" s="12" t="s">
        <v>79</v>
      </c>
      <c r="B12" s="12" t="s">
        <v>7</v>
      </c>
      <c r="C12" s="13" t="s">
        <v>70</v>
      </c>
      <c r="D12" s="13" t="s">
        <v>80</v>
      </c>
      <c r="E12" s="13" t="s">
        <v>81</v>
      </c>
      <c r="F12" s="13" t="s">
        <v>82</v>
      </c>
      <c r="G12" s="13" t="s">
        <v>74</v>
      </c>
      <c r="H12" s="12" t="s">
        <v>30</v>
      </c>
      <c r="I12" s="12" t="s">
        <v>5</v>
      </c>
      <c r="J12" s="12" t="s">
        <v>54</v>
      </c>
      <c r="K12" s="13" t="s">
        <v>55</v>
      </c>
    </row>
    <row r="13" spans="1:11" ht="42.75" customHeight="1" x14ac:dyDescent="0.3">
      <c r="A13" s="12" t="s">
        <v>83</v>
      </c>
      <c r="B13" s="12" t="s">
        <v>7</v>
      </c>
      <c r="C13" s="13" t="s">
        <v>70</v>
      </c>
      <c r="D13" s="13" t="s">
        <v>84</v>
      </c>
      <c r="E13" s="13" t="s">
        <v>85</v>
      </c>
      <c r="F13" s="13" t="s">
        <v>86</v>
      </c>
      <c r="G13" s="13" t="s">
        <v>87</v>
      </c>
      <c r="H13" s="12" t="s">
        <v>30</v>
      </c>
      <c r="I13" s="12" t="s">
        <v>5</v>
      </c>
      <c r="J13" s="12" t="s">
        <v>54</v>
      </c>
      <c r="K13" s="13" t="s">
        <v>55</v>
      </c>
    </row>
    <row r="14" spans="1:11" ht="42.75" customHeight="1" x14ac:dyDescent="0.3">
      <c r="A14" s="12" t="s">
        <v>88</v>
      </c>
      <c r="B14" s="12" t="s">
        <v>7</v>
      </c>
      <c r="C14" s="13" t="s">
        <v>70</v>
      </c>
      <c r="D14" s="13" t="s">
        <v>89</v>
      </c>
      <c r="E14" s="13" t="s">
        <v>90</v>
      </c>
      <c r="F14" s="13" t="s">
        <v>91</v>
      </c>
      <c r="G14" s="13" t="s">
        <v>87</v>
      </c>
      <c r="H14" s="12" t="s">
        <v>30</v>
      </c>
      <c r="I14" s="12" t="s">
        <v>5</v>
      </c>
      <c r="J14" s="12" t="s">
        <v>54</v>
      </c>
      <c r="K14" s="13" t="s">
        <v>55</v>
      </c>
    </row>
    <row r="15" spans="1:11" ht="42.75" customHeight="1" x14ac:dyDescent="0.3">
      <c r="A15" s="12" t="s">
        <v>92</v>
      </c>
      <c r="B15" s="12" t="s">
        <v>7</v>
      </c>
      <c r="C15" s="13" t="s">
        <v>93</v>
      </c>
      <c r="D15" s="13" t="s">
        <v>94</v>
      </c>
      <c r="E15" s="13" t="s">
        <v>95</v>
      </c>
      <c r="F15" s="13" t="s">
        <v>96</v>
      </c>
      <c r="G15" s="13" t="s">
        <v>97</v>
      </c>
      <c r="H15" s="12" t="s">
        <v>30</v>
      </c>
      <c r="I15" s="12" t="s">
        <v>5</v>
      </c>
      <c r="J15" s="12" t="s">
        <v>98</v>
      </c>
      <c r="K15" s="13" t="s">
        <v>99</v>
      </c>
    </row>
    <row r="16" spans="1:11" ht="42.75" customHeight="1" x14ac:dyDescent="0.3">
      <c r="A16" s="12" t="s">
        <v>100</v>
      </c>
      <c r="B16" s="12" t="s">
        <v>7</v>
      </c>
      <c r="C16" s="13" t="s">
        <v>93</v>
      </c>
      <c r="D16" s="13" t="s">
        <v>101</v>
      </c>
      <c r="E16" s="13" t="s">
        <v>102</v>
      </c>
      <c r="F16" s="13" t="s">
        <v>103</v>
      </c>
      <c r="G16" s="13" t="s">
        <v>104</v>
      </c>
      <c r="H16" s="12" t="s">
        <v>30</v>
      </c>
      <c r="I16" s="12" t="s">
        <v>5</v>
      </c>
      <c r="J16" s="12" t="s">
        <v>54</v>
      </c>
      <c r="K16" s="13" t="s">
        <v>99</v>
      </c>
    </row>
    <row r="17" spans="1:11" ht="42.75" customHeight="1" x14ac:dyDescent="0.3">
      <c r="A17" s="12" t="s">
        <v>105</v>
      </c>
      <c r="B17" s="12" t="s">
        <v>7</v>
      </c>
      <c r="C17" s="13" t="s">
        <v>93</v>
      </c>
      <c r="D17" s="13" t="s">
        <v>106</v>
      </c>
      <c r="E17" s="13" t="s">
        <v>107</v>
      </c>
      <c r="F17" s="13" t="s">
        <v>108</v>
      </c>
      <c r="G17" s="13" t="s">
        <v>109</v>
      </c>
      <c r="H17" s="12" t="s">
        <v>30</v>
      </c>
      <c r="I17" s="12" t="s">
        <v>5</v>
      </c>
      <c r="J17" s="12" t="s">
        <v>98</v>
      </c>
      <c r="K17" s="13" t="s">
        <v>99</v>
      </c>
    </row>
    <row r="18" spans="1:11" ht="42.75" customHeight="1" x14ac:dyDescent="0.3">
      <c r="A18" s="12" t="s">
        <v>110</v>
      </c>
      <c r="B18" s="12" t="s">
        <v>7</v>
      </c>
      <c r="C18" s="13" t="s">
        <v>111</v>
      </c>
      <c r="D18" s="13" t="s">
        <v>112</v>
      </c>
      <c r="E18" s="13" t="s">
        <v>113</v>
      </c>
      <c r="F18" s="13" t="s">
        <v>114</v>
      </c>
      <c r="G18" s="13" t="s">
        <v>115</v>
      </c>
      <c r="H18" s="12" t="s">
        <v>30</v>
      </c>
      <c r="I18" s="12" t="s">
        <v>5</v>
      </c>
      <c r="J18" s="12" t="s">
        <v>98</v>
      </c>
      <c r="K18" s="13" t="s">
        <v>116</v>
      </c>
    </row>
    <row r="19" spans="1:11" ht="42.75" customHeight="1" x14ac:dyDescent="0.3">
      <c r="A19" s="12" t="s">
        <v>117</v>
      </c>
      <c r="B19" s="12" t="s">
        <v>7</v>
      </c>
      <c r="C19" s="13" t="s">
        <v>111</v>
      </c>
      <c r="D19" s="13" t="s">
        <v>118</v>
      </c>
      <c r="E19" s="13" t="s">
        <v>119</v>
      </c>
      <c r="F19" s="13" t="s">
        <v>120</v>
      </c>
      <c r="G19" s="13" t="s">
        <v>121</v>
      </c>
      <c r="H19" s="12" t="s">
        <v>30</v>
      </c>
      <c r="I19" s="12" t="s">
        <v>5</v>
      </c>
      <c r="J19" s="12" t="s">
        <v>98</v>
      </c>
      <c r="K19" s="13" t="s">
        <v>122</v>
      </c>
    </row>
    <row r="20" spans="1:11" ht="42.75" customHeight="1" x14ac:dyDescent="0.3">
      <c r="A20" s="12" t="s">
        <v>123</v>
      </c>
      <c r="B20" s="12" t="s">
        <v>7</v>
      </c>
      <c r="C20" s="13" t="s">
        <v>111</v>
      </c>
      <c r="D20" s="13" t="s">
        <v>124</v>
      </c>
      <c r="E20" s="13" t="s">
        <v>125</v>
      </c>
      <c r="F20" s="13" t="s">
        <v>126</v>
      </c>
      <c r="G20" s="13" t="s">
        <v>127</v>
      </c>
      <c r="H20" s="12" t="s">
        <v>30</v>
      </c>
      <c r="I20" s="12" t="s">
        <v>5</v>
      </c>
      <c r="J20" s="12" t="s">
        <v>98</v>
      </c>
      <c r="K20" s="13" t="s">
        <v>122</v>
      </c>
    </row>
    <row r="21" spans="1:11" ht="55.5" customHeight="1" x14ac:dyDescent="0.3">
      <c r="A21" s="12" t="s">
        <v>128</v>
      </c>
      <c r="B21" s="12" t="s">
        <v>7</v>
      </c>
      <c r="C21" s="13" t="s">
        <v>129</v>
      </c>
      <c r="D21" s="13" t="s">
        <v>130</v>
      </c>
      <c r="E21" s="13" t="s">
        <v>131</v>
      </c>
      <c r="F21" s="13" t="s">
        <v>132</v>
      </c>
      <c r="G21" s="13" t="s">
        <v>133</v>
      </c>
      <c r="H21" s="12" t="s">
        <v>30</v>
      </c>
      <c r="I21" s="12" t="s">
        <v>5</v>
      </c>
      <c r="J21" s="12" t="s">
        <v>54</v>
      </c>
      <c r="K21" s="13" t="s">
        <v>134</v>
      </c>
    </row>
    <row r="22" spans="1:11" ht="42.75" customHeight="1" x14ac:dyDescent="0.3">
      <c r="A22" s="12" t="s">
        <v>135</v>
      </c>
      <c r="B22" s="12" t="s">
        <v>8</v>
      </c>
      <c r="C22" s="13" t="s">
        <v>136</v>
      </c>
      <c r="D22" s="13" t="s">
        <v>136</v>
      </c>
      <c r="E22" s="13" t="s">
        <v>137</v>
      </c>
      <c r="F22" s="13" t="s">
        <v>138</v>
      </c>
      <c r="G22" s="13" t="s">
        <v>139</v>
      </c>
      <c r="H22" s="12" t="s">
        <v>30</v>
      </c>
      <c r="I22" s="12" t="s">
        <v>6</v>
      </c>
      <c r="J22" s="12" t="s">
        <v>54</v>
      </c>
      <c r="K22" s="13" t="s">
        <v>140</v>
      </c>
    </row>
    <row r="23" spans="1:11" ht="30" customHeight="1" x14ac:dyDescent="0.3">
      <c r="A23" s="12" t="s">
        <v>141</v>
      </c>
      <c r="B23" s="12" t="s">
        <v>8</v>
      </c>
      <c r="C23" s="13" t="s">
        <v>142</v>
      </c>
      <c r="D23" s="13" t="s">
        <v>142</v>
      </c>
      <c r="E23" s="13" t="s">
        <v>143</v>
      </c>
      <c r="F23" s="13" t="s">
        <v>144</v>
      </c>
      <c r="G23" s="13" t="s">
        <v>145</v>
      </c>
      <c r="H23" s="12" t="s">
        <v>30</v>
      </c>
      <c r="I23" s="12" t="s">
        <v>6</v>
      </c>
      <c r="J23" s="12" t="s">
        <v>98</v>
      </c>
      <c r="K23" s="13" t="s">
        <v>146</v>
      </c>
    </row>
    <row r="24" spans="1:11" ht="42.75" customHeight="1" x14ac:dyDescent="0.3">
      <c r="A24" s="12" t="s">
        <v>147</v>
      </c>
      <c r="B24" s="12" t="s">
        <v>8</v>
      </c>
      <c r="C24" s="13" t="s">
        <v>148</v>
      </c>
      <c r="D24" s="13" t="s">
        <v>148</v>
      </c>
      <c r="E24" s="13" t="s">
        <v>149</v>
      </c>
      <c r="F24" s="13" t="s">
        <v>150</v>
      </c>
      <c r="G24" s="13" t="s">
        <v>151</v>
      </c>
      <c r="H24" s="12" t="s">
        <v>30</v>
      </c>
      <c r="I24" s="12" t="s">
        <v>6</v>
      </c>
      <c r="J24" s="12" t="s">
        <v>54</v>
      </c>
      <c r="K24" s="13" t="s">
        <v>152</v>
      </c>
    </row>
    <row r="25" spans="1:11" ht="42.75" customHeight="1" x14ac:dyDescent="0.3">
      <c r="A25" s="12" t="s">
        <v>153</v>
      </c>
      <c r="B25" s="12" t="s">
        <v>8</v>
      </c>
      <c r="C25" s="13" t="s">
        <v>154</v>
      </c>
      <c r="D25" s="13" t="s">
        <v>154</v>
      </c>
      <c r="E25" s="13" t="s">
        <v>155</v>
      </c>
      <c r="F25" s="13" t="s">
        <v>156</v>
      </c>
      <c r="G25" s="13" t="s">
        <v>157</v>
      </c>
      <c r="H25" s="12" t="s">
        <v>30</v>
      </c>
      <c r="I25" s="12" t="s">
        <v>6</v>
      </c>
      <c r="J25" s="12" t="s">
        <v>54</v>
      </c>
      <c r="K25" s="13" t="s">
        <v>158</v>
      </c>
    </row>
    <row r="26" spans="1:11" ht="42.75" customHeight="1" x14ac:dyDescent="0.3">
      <c r="A26" s="12" t="s">
        <v>159</v>
      </c>
      <c r="B26" s="12" t="s">
        <v>8</v>
      </c>
      <c r="C26" s="13" t="s">
        <v>160</v>
      </c>
      <c r="D26" s="13" t="s">
        <v>160</v>
      </c>
      <c r="E26" s="13" t="s">
        <v>161</v>
      </c>
      <c r="F26" s="13" t="s">
        <v>162</v>
      </c>
      <c r="G26" s="13" t="s">
        <v>163</v>
      </c>
      <c r="H26" s="12" t="s">
        <v>30</v>
      </c>
      <c r="I26" s="12" t="s">
        <v>6</v>
      </c>
      <c r="J26" s="12" t="s">
        <v>98</v>
      </c>
      <c r="K26" s="13" t="s">
        <v>164</v>
      </c>
    </row>
    <row r="27" spans="1:11" ht="42.75" customHeight="1" x14ac:dyDescent="0.3">
      <c r="A27" s="12" t="s">
        <v>165</v>
      </c>
      <c r="B27" s="12" t="s">
        <v>8</v>
      </c>
      <c r="C27" s="13" t="s">
        <v>166</v>
      </c>
      <c r="D27" s="13" t="s">
        <v>166</v>
      </c>
      <c r="E27" s="13" t="s">
        <v>167</v>
      </c>
      <c r="F27" s="13" t="s">
        <v>168</v>
      </c>
      <c r="G27" s="13" t="s">
        <v>169</v>
      </c>
      <c r="H27" s="12" t="s">
        <v>30</v>
      </c>
      <c r="I27" s="12" t="s">
        <v>6</v>
      </c>
      <c r="J27" s="12" t="s">
        <v>54</v>
      </c>
      <c r="K27" s="13" t="s">
        <v>32</v>
      </c>
    </row>
    <row r="28" spans="1:11" ht="42.75" customHeight="1" x14ac:dyDescent="0.3">
      <c r="A28" s="12" t="s">
        <v>170</v>
      </c>
      <c r="B28" s="12" t="s">
        <v>8</v>
      </c>
      <c r="C28" s="13" t="s">
        <v>171</v>
      </c>
      <c r="D28" s="13" t="s">
        <v>171</v>
      </c>
      <c r="E28" s="13" t="s">
        <v>172</v>
      </c>
      <c r="F28" s="13" t="s">
        <v>173</v>
      </c>
      <c r="G28" s="13" t="s">
        <v>174</v>
      </c>
      <c r="H28" s="12" t="s">
        <v>30</v>
      </c>
      <c r="I28" s="12" t="s">
        <v>6</v>
      </c>
      <c r="J28" s="12" t="s">
        <v>54</v>
      </c>
      <c r="K28" s="13" t="s">
        <v>32</v>
      </c>
    </row>
    <row r="29" spans="1:11" ht="42.75" customHeight="1" x14ac:dyDescent="0.3">
      <c r="A29" s="12" t="s">
        <v>175</v>
      </c>
      <c r="B29" s="12" t="s">
        <v>8</v>
      </c>
      <c r="C29" s="13" t="s">
        <v>176</v>
      </c>
      <c r="D29" s="13" t="s">
        <v>176</v>
      </c>
      <c r="E29" s="13" t="s">
        <v>177</v>
      </c>
      <c r="F29" s="13" t="s">
        <v>178</v>
      </c>
      <c r="G29" s="13" t="s">
        <v>179</v>
      </c>
      <c r="H29" s="12" t="s">
        <v>30</v>
      </c>
      <c r="I29" s="12" t="s">
        <v>6</v>
      </c>
      <c r="J29" s="12" t="s">
        <v>54</v>
      </c>
      <c r="K29" s="13" t="s">
        <v>180</v>
      </c>
    </row>
    <row r="30" spans="1:11" ht="42.75" customHeight="1" x14ac:dyDescent="0.3">
      <c r="A30" s="12" t="s">
        <v>181</v>
      </c>
      <c r="B30" s="12" t="s">
        <v>8</v>
      </c>
      <c r="C30" s="13" t="s">
        <v>182</v>
      </c>
      <c r="D30" s="13" t="s">
        <v>182</v>
      </c>
      <c r="E30" s="13" t="s">
        <v>183</v>
      </c>
      <c r="F30" s="13" t="s">
        <v>184</v>
      </c>
      <c r="G30" s="13" t="s">
        <v>185</v>
      </c>
      <c r="H30" s="12" t="s">
        <v>30</v>
      </c>
      <c r="I30" s="12" t="s">
        <v>6</v>
      </c>
      <c r="J30" s="12" t="s">
        <v>54</v>
      </c>
      <c r="K30" s="13" t="s">
        <v>186</v>
      </c>
    </row>
    <row r="31" spans="1:11" ht="30" customHeight="1" x14ac:dyDescent="0.3">
      <c r="A31" s="12" t="s">
        <v>187</v>
      </c>
      <c r="B31" s="12" t="s">
        <v>8</v>
      </c>
      <c r="C31" s="13" t="s">
        <v>188</v>
      </c>
      <c r="D31" s="13" t="s">
        <v>188</v>
      </c>
      <c r="E31" s="13" t="s">
        <v>189</v>
      </c>
      <c r="F31" s="13" t="s">
        <v>190</v>
      </c>
      <c r="G31" s="13" t="s">
        <v>191</v>
      </c>
      <c r="H31" s="12" t="s">
        <v>30</v>
      </c>
      <c r="I31" s="12" t="s">
        <v>6</v>
      </c>
      <c r="J31" s="12" t="s">
        <v>54</v>
      </c>
      <c r="K31" s="13" t="s">
        <v>99</v>
      </c>
    </row>
    <row r="32" spans="1:11" ht="30" customHeight="1" x14ac:dyDescent="0.3">
      <c r="A32" s="12" t="s">
        <v>192</v>
      </c>
      <c r="B32" s="12" t="s">
        <v>8</v>
      </c>
      <c r="C32" s="13" t="s">
        <v>193</v>
      </c>
      <c r="D32" s="13" t="s">
        <v>193</v>
      </c>
      <c r="E32" s="13" t="s">
        <v>194</v>
      </c>
      <c r="F32" s="13" t="s">
        <v>195</v>
      </c>
      <c r="G32" s="13" t="s">
        <v>196</v>
      </c>
      <c r="H32" s="12" t="s">
        <v>30</v>
      </c>
      <c r="I32" s="12" t="s">
        <v>6</v>
      </c>
      <c r="J32" s="12" t="s">
        <v>98</v>
      </c>
      <c r="K32" s="13" t="s">
        <v>99</v>
      </c>
    </row>
    <row r="33" spans="1:11" ht="30" customHeight="1" x14ac:dyDescent="0.3">
      <c r="A33" s="12" t="s">
        <v>197</v>
      </c>
      <c r="B33" s="12" t="s">
        <v>8</v>
      </c>
      <c r="C33" s="13" t="s">
        <v>198</v>
      </c>
      <c r="D33" s="13" t="s">
        <v>198</v>
      </c>
      <c r="E33" s="13" t="s">
        <v>199</v>
      </c>
      <c r="F33" s="13" t="s">
        <v>200</v>
      </c>
      <c r="G33" s="13" t="s">
        <v>201</v>
      </c>
      <c r="H33" s="12" t="s">
        <v>30</v>
      </c>
      <c r="I33" s="12" t="s">
        <v>6</v>
      </c>
      <c r="J33" s="12" t="s">
        <v>54</v>
      </c>
      <c r="K33" s="13" t="s">
        <v>202</v>
      </c>
    </row>
    <row r="34" spans="1:11" ht="30" customHeight="1" x14ac:dyDescent="0.3">
      <c r="A34" s="12" t="s">
        <v>203</v>
      </c>
      <c r="B34" s="12" t="s">
        <v>8</v>
      </c>
      <c r="C34" s="13" t="s">
        <v>204</v>
      </c>
      <c r="D34" s="13" t="s">
        <v>204</v>
      </c>
      <c r="E34" s="13" t="s">
        <v>205</v>
      </c>
      <c r="F34" s="13" t="s">
        <v>206</v>
      </c>
      <c r="G34" s="13" t="s">
        <v>207</v>
      </c>
      <c r="H34" s="12" t="s">
        <v>30</v>
      </c>
      <c r="I34" s="12" t="s">
        <v>6</v>
      </c>
      <c r="J34" s="12" t="s">
        <v>98</v>
      </c>
      <c r="K34" s="13" t="s">
        <v>208</v>
      </c>
    </row>
    <row r="35" spans="1:11" ht="42.75" customHeight="1" x14ac:dyDescent="0.3">
      <c r="A35" s="12" t="s">
        <v>209</v>
      </c>
      <c r="B35" s="12" t="s">
        <v>8</v>
      </c>
      <c r="C35" s="13" t="s">
        <v>210</v>
      </c>
      <c r="D35" s="13" t="s">
        <v>210</v>
      </c>
      <c r="E35" s="13" t="s">
        <v>211</v>
      </c>
      <c r="F35" s="13" t="s">
        <v>212</v>
      </c>
      <c r="G35" s="13" t="s">
        <v>213</v>
      </c>
      <c r="H35" s="12" t="s">
        <v>30</v>
      </c>
      <c r="I35" s="12" t="s">
        <v>6</v>
      </c>
      <c r="J35" s="12" t="s">
        <v>98</v>
      </c>
      <c r="K35" s="13" t="s">
        <v>208</v>
      </c>
    </row>
    <row r="36" spans="1:11" ht="30" customHeight="1" x14ac:dyDescent="0.3">
      <c r="A36" s="12" t="s">
        <v>214</v>
      </c>
      <c r="B36" s="12" t="s">
        <v>8</v>
      </c>
      <c r="C36" s="13" t="s">
        <v>215</v>
      </c>
      <c r="D36" s="13" t="s">
        <v>215</v>
      </c>
      <c r="E36" s="13" t="s">
        <v>216</v>
      </c>
      <c r="F36" s="13" t="s">
        <v>217</v>
      </c>
      <c r="G36" s="13" t="s">
        <v>218</v>
      </c>
      <c r="H36" s="12" t="s">
        <v>30</v>
      </c>
      <c r="I36" s="12" t="s">
        <v>6</v>
      </c>
      <c r="J36" s="12" t="s">
        <v>98</v>
      </c>
      <c r="K36" s="13" t="s">
        <v>208</v>
      </c>
    </row>
    <row r="37" spans="1:11" ht="30" customHeight="1" x14ac:dyDescent="0.3">
      <c r="A37" s="12" t="s">
        <v>219</v>
      </c>
      <c r="B37" s="12" t="s">
        <v>8</v>
      </c>
      <c r="C37" s="13" t="s">
        <v>220</v>
      </c>
      <c r="D37" s="13" t="s">
        <v>220</v>
      </c>
      <c r="E37" s="13" t="s">
        <v>221</v>
      </c>
      <c r="F37" s="13" t="s">
        <v>222</v>
      </c>
      <c r="G37" s="13" t="s">
        <v>223</v>
      </c>
      <c r="H37" s="12" t="s">
        <v>30</v>
      </c>
      <c r="I37" s="12" t="s">
        <v>6</v>
      </c>
      <c r="J37" s="12" t="s">
        <v>98</v>
      </c>
      <c r="K37" s="13" t="s">
        <v>224</v>
      </c>
    </row>
    <row r="38" spans="1:11" ht="55.5" customHeight="1" x14ac:dyDescent="0.3">
      <c r="A38" s="12" t="s">
        <v>225</v>
      </c>
      <c r="B38" s="12" t="s">
        <v>8</v>
      </c>
      <c r="C38" s="13" t="s">
        <v>226</v>
      </c>
      <c r="D38" s="13" t="s">
        <v>226</v>
      </c>
      <c r="E38" s="13" t="s">
        <v>227</v>
      </c>
      <c r="F38" s="13" t="s">
        <v>228</v>
      </c>
      <c r="G38" s="13" t="s">
        <v>229</v>
      </c>
      <c r="H38" s="12" t="s">
        <v>30</v>
      </c>
      <c r="I38" s="12" t="s">
        <v>6</v>
      </c>
      <c r="J38" s="12" t="s">
        <v>98</v>
      </c>
      <c r="K38" s="13" t="s">
        <v>230</v>
      </c>
    </row>
    <row r="39" spans="1:11" ht="42.75" customHeight="1" x14ac:dyDescent="0.3">
      <c r="A39" s="12" t="s">
        <v>231</v>
      </c>
      <c r="B39" s="12" t="s">
        <v>8</v>
      </c>
      <c r="C39" s="13" t="s">
        <v>232</v>
      </c>
      <c r="D39" s="13" t="s">
        <v>232</v>
      </c>
      <c r="E39" s="13" t="s">
        <v>233</v>
      </c>
      <c r="F39" s="13" t="s">
        <v>234</v>
      </c>
      <c r="G39" s="13" t="s">
        <v>235</v>
      </c>
      <c r="H39" s="12" t="s">
        <v>30</v>
      </c>
      <c r="I39" s="12" t="s">
        <v>6</v>
      </c>
      <c r="J39" s="12" t="s">
        <v>98</v>
      </c>
      <c r="K39" s="13" t="s">
        <v>224</v>
      </c>
    </row>
    <row r="40" spans="1:11" ht="42.75" customHeight="1" x14ac:dyDescent="0.3">
      <c r="A40" s="12" t="s">
        <v>236</v>
      </c>
      <c r="B40" s="12" t="s">
        <v>8</v>
      </c>
      <c r="C40" s="13" t="s">
        <v>237</v>
      </c>
      <c r="D40" s="13" t="s">
        <v>237</v>
      </c>
      <c r="E40" s="13" t="s">
        <v>238</v>
      </c>
      <c r="F40" s="13" t="s">
        <v>239</v>
      </c>
      <c r="G40" s="13" t="s">
        <v>240</v>
      </c>
      <c r="H40" s="12" t="s">
        <v>30</v>
      </c>
      <c r="I40" s="12" t="s">
        <v>6</v>
      </c>
      <c r="J40" s="12" t="s">
        <v>54</v>
      </c>
      <c r="K40" s="13" t="s">
        <v>180</v>
      </c>
    </row>
    <row r="41" spans="1:11" ht="42.75" customHeight="1" x14ac:dyDescent="0.3">
      <c r="A41" s="12" t="s">
        <v>241</v>
      </c>
      <c r="B41" s="12" t="s">
        <v>8</v>
      </c>
      <c r="C41" s="13" t="s">
        <v>242</v>
      </c>
      <c r="D41" s="13" t="s">
        <v>242</v>
      </c>
      <c r="E41" s="13" t="s">
        <v>243</v>
      </c>
      <c r="F41" s="13" t="s">
        <v>244</v>
      </c>
      <c r="G41" s="13" t="s">
        <v>245</v>
      </c>
      <c r="H41" s="12" t="s">
        <v>246</v>
      </c>
      <c r="I41" s="12" t="s">
        <v>6</v>
      </c>
      <c r="J41" s="12" t="s">
        <v>54</v>
      </c>
      <c r="K41" s="13" t="s">
        <v>180</v>
      </c>
    </row>
    <row r="42" spans="1:11" ht="30" customHeight="1" x14ac:dyDescent="0.3">
      <c r="A42" s="12" t="s">
        <v>247</v>
      </c>
      <c r="B42" s="12" t="s">
        <v>8</v>
      </c>
      <c r="C42" s="13" t="s">
        <v>248</v>
      </c>
      <c r="D42" s="13" t="s">
        <v>248</v>
      </c>
      <c r="E42" s="13" t="s">
        <v>249</v>
      </c>
      <c r="F42" s="13" t="s">
        <v>250</v>
      </c>
      <c r="G42" s="13" t="s">
        <v>251</v>
      </c>
      <c r="H42" s="12" t="s">
        <v>30</v>
      </c>
      <c r="I42" s="12" t="s">
        <v>6</v>
      </c>
      <c r="J42" s="12" t="s">
        <v>31</v>
      </c>
      <c r="K42" s="13" t="s">
        <v>252</v>
      </c>
    </row>
    <row r="43" spans="1:11" ht="42.75" customHeight="1" x14ac:dyDescent="0.3">
      <c r="A43" s="12" t="s">
        <v>253</v>
      </c>
      <c r="B43" s="12" t="s">
        <v>8</v>
      </c>
      <c r="C43" s="13" t="s">
        <v>254</v>
      </c>
      <c r="D43" s="13" t="s">
        <v>254</v>
      </c>
      <c r="E43" s="13" t="s">
        <v>255</v>
      </c>
      <c r="F43" s="13" t="s">
        <v>256</v>
      </c>
      <c r="G43" s="13" t="s">
        <v>257</v>
      </c>
      <c r="H43" s="12" t="s">
        <v>30</v>
      </c>
      <c r="I43" s="12" t="s">
        <v>6</v>
      </c>
      <c r="J43" s="12" t="s">
        <v>54</v>
      </c>
      <c r="K43" s="13" t="s">
        <v>180</v>
      </c>
    </row>
    <row r="44" spans="1:11" ht="55.5" customHeight="1" x14ac:dyDescent="0.3">
      <c r="A44" s="12" t="s">
        <v>258</v>
      </c>
      <c r="B44" s="12" t="s">
        <v>9</v>
      </c>
      <c r="C44" s="13" t="s">
        <v>259</v>
      </c>
      <c r="D44" s="13" t="s">
        <v>260</v>
      </c>
      <c r="E44" s="13" t="s">
        <v>261</v>
      </c>
      <c r="F44" s="13" t="s">
        <v>262</v>
      </c>
      <c r="G44" s="13" t="s">
        <v>263</v>
      </c>
      <c r="H44" s="12" t="s">
        <v>30</v>
      </c>
      <c r="I44" s="12" t="s">
        <v>6</v>
      </c>
      <c r="J44" s="12" t="s">
        <v>54</v>
      </c>
      <c r="K44" s="13" t="s">
        <v>140</v>
      </c>
    </row>
    <row r="45" spans="1:11" ht="42.75" customHeight="1" x14ac:dyDescent="0.3">
      <c r="A45" s="12" t="s">
        <v>264</v>
      </c>
      <c r="B45" s="12" t="s">
        <v>9</v>
      </c>
      <c r="C45" s="13" t="s">
        <v>259</v>
      </c>
      <c r="D45" s="13" t="s">
        <v>265</v>
      </c>
      <c r="E45" s="13" t="s">
        <v>266</v>
      </c>
      <c r="F45" s="13" t="s">
        <v>267</v>
      </c>
      <c r="G45" s="13" t="s">
        <v>268</v>
      </c>
      <c r="H45" s="12" t="s">
        <v>30</v>
      </c>
      <c r="I45" s="12" t="s">
        <v>6</v>
      </c>
      <c r="J45" s="12" t="s">
        <v>54</v>
      </c>
      <c r="K45" s="13" t="s">
        <v>140</v>
      </c>
    </row>
    <row r="46" spans="1:11" ht="55.5" customHeight="1" x14ac:dyDescent="0.3">
      <c r="A46" s="12" t="s">
        <v>269</v>
      </c>
      <c r="B46" s="12" t="s">
        <v>9</v>
      </c>
      <c r="C46" s="13" t="s">
        <v>259</v>
      </c>
      <c r="D46" s="13" t="s">
        <v>270</v>
      </c>
      <c r="E46" s="13" t="s">
        <v>271</v>
      </c>
      <c r="F46" s="13" t="s">
        <v>272</v>
      </c>
      <c r="G46" s="13" t="s">
        <v>273</v>
      </c>
      <c r="H46" s="12" t="s">
        <v>30</v>
      </c>
      <c r="I46" s="12" t="s">
        <v>6</v>
      </c>
      <c r="J46" s="12" t="s">
        <v>54</v>
      </c>
      <c r="K46" s="13" t="s">
        <v>158</v>
      </c>
    </row>
    <row r="47" spans="1:11" ht="30" customHeight="1" x14ac:dyDescent="0.3">
      <c r="A47" s="12" t="s">
        <v>274</v>
      </c>
      <c r="B47" s="12" t="s">
        <v>9</v>
      </c>
      <c r="C47" s="13" t="s">
        <v>259</v>
      </c>
      <c r="D47" s="13" t="s">
        <v>275</v>
      </c>
      <c r="E47" s="13" t="s">
        <v>276</v>
      </c>
      <c r="F47" s="13" t="s">
        <v>277</v>
      </c>
      <c r="G47" s="13" t="s">
        <v>278</v>
      </c>
      <c r="H47" s="12" t="s">
        <v>30</v>
      </c>
      <c r="I47" s="12" t="s">
        <v>6</v>
      </c>
      <c r="J47" s="12" t="s">
        <v>54</v>
      </c>
      <c r="K47" s="13" t="s">
        <v>158</v>
      </c>
    </row>
    <row r="48" spans="1:11" ht="42.75" customHeight="1" x14ac:dyDescent="0.3">
      <c r="A48" s="12" t="s">
        <v>279</v>
      </c>
      <c r="B48" s="12" t="s">
        <v>9</v>
      </c>
      <c r="C48" s="13" t="s">
        <v>259</v>
      </c>
      <c r="D48" s="13" t="s">
        <v>280</v>
      </c>
      <c r="E48" s="13" t="s">
        <v>281</v>
      </c>
      <c r="F48" s="13" t="s">
        <v>282</v>
      </c>
      <c r="G48" s="13" t="s">
        <v>283</v>
      </c>
      <c r="H48" s="12" t="s">
        <v>30</v>
      </c>
      <c r="I48" s="12" t="s">
        <v>6</v>
      </c>
      <c r="J48" s="12" t="s">
        <v>54</v>
      </c>
      <c r="K48" s="13" t="s">
        <v>284</v>
      </c>
    </row>
    <row r="49" spans="1:11" ht="42.75" customHeight="1" x14ac:dyDescent="0.3">
      <c r="A49" s="12" t="s">
        <v>285</v>
      </c>
      <c r="B49" s="12" t="s">
        <v>9</v>
      </c>
      <c r="C49" s="13" t="s">
        <v>259</v>
      </c>
      <c r="D49" s="13" t="s">
        <v>286</v>
      </c>
      <c r="E49" s="13" t="s">
        <v>287</v>
      </c>
      <c r="F49" s="13" t="s">
        <v>288</v>
      </c>
      <c r="G49" s="13" t="s">
        <v>289</v>
      </c>
      <c r="H49" s="12" t="s">
        <v>30</v>
      </c>
      <c r="I49" s="12" t="s">
        <v>6</v>
      </c>
      <c r="J49" s="12" t="s">
        <v>54</v>
      </c>
      <c r="K49" s="13" t="s">
        <v>32</v>
      </c>
    </row>
    <row r="50" spans="1:11" ht="30" customHeight="1" x14ac:dyDescent="0.3">
      <c r="A50" s="12" t="s">
        <v>290</v>
      </c>
      <c r="B50" s="12" t="s">
        <v>9</v>
      </c>
      <c r="C50" s="13" t="s">
        <v>259</v>
      </c>
      <c r="D50" s="13" t="s">
        <v>291</v>
      </c>
      <c r="E50" s="13" t="s">
        <v>292</v>
      </c>
      <c r="F50" s="13" t="s">
        <v>293</v>
      </c>
      <c r="G50" s="13" t="s">
        <v>294</v>
      </c>
      <c r="H50" s="12" t="s">
        <v>30</v>
      </c>
      <c r="I50" s="12" t="s">
        <v>6</v>
      </c>
      <c r="J50" s="12" t="s">
        <v>54</v>
      </c>
      <c r="K50" s="13" t="s">
        <v>32</v>
      </c>
    </row>
    <row r="51" spans="1:11" ht="42.75" customHeight="1" x14ac:dyDescent="0.3">
      <c r="A51" s="12" t="s">
        <v>295</v>
      </c>
      <c r="B51" s="12" t="s">
        <v>9</v>
      </c>
      <c r="C51" s="13" t="s">
        <v>259</v>
      </c>
      <c r="D51" s="13" t="s">
        <v>296</v>
      </c>
      <c r="E51" s="13" t="s">
        <v>297</v>
      </c>
      <c r="F51" s="13" t="s">
        <v>298</v>
      </c>
      <c r="G51" s="13" t="s">
        <v>299</v>
      </c>
      <c r="H51" s="12" t="s">
        <v>30</v>
      </c>
      <c r="I51" s="12" t="s">
        <v>6</v>
      </c>
      <c r="J51" s="12" t="s">
        <v>31</v>
      </c>
      <c r="K51" s="13" t="s">
        <v>32</v>
      </c>
    </row>
    <row r="52" spans="1:11" ht="42.75" customHeight="1" x14ac:dyDescent="0.3">
      <c r="A52" s="12" t="s">
        <v>300</v>
      </c>
      <c r="B52" s="12" t="s">
        <v>9</v>
      </c>
      <c r="C52" s="13" t="s">
        <v>259</v>
      </c>
      <c r="D52" s="13" t="s">
        <v>301</v>
      </c>
      <c r="E52" s="13" t="s">
        <v>302</v>
      </c>
      <c r="F52" s="13" t="s">
        <v>303</v>
      </c>
      <c r="G52" s="13" t="s">
        <v>304</v>
      </c>
      <c r="H52" s="12" t="s">
        <v>30</v>
      </c>
      <c r="I52" s="12" t="s">
        <v>6</v>
      </c>
      <c r="J52" s="12" t="s">
        <v>98</v>
      </c>
      <c r="K52" s="13" t="s">
        <v>305</v>
      </c>
    </row>
    <row r="53" spans="1:11" ht="42.75" customHeight="1" x14ac:dyDescent="0.3">
      <c r="A53" s="12" t="s">
        <v>306</v>
      </c>
      <c r="B53" s="12" t="s">
        <v>9</v>
      </c>
      <c r="C53" s="13" t="s">
        <v>259</v>
      </c>
      <c r="D53" s="13" t="s">
        <v>307</v>
      </c>
      <c r="E53" s="13" t="s">
        <v>308</v>
      </c>
      <c r="F53" s="13" t="s">
        <v>309</v>
      </c>
      <c r="G53" s="13" t="s">
        <v>310</v>
      </c>
      <c r="H53" s="12" t="s">
        <v>30</v>
      </c>
      <c r="I53" s="12" t="s">
        <v>6</v>
      </c>
      <c r="J53" s="12" t="s">
        <v>98</v>
      </c>
      <c r="K53" s="13" t="s">
        <v>311</v>
      </c>
    </row>
    <row r="54" spans="1:11" ht="42.75" customHeight="1" x14ac:dyDescent="0.3">
      <c r="A54" s="12" t="s">
        <v>312</v>
      </c>
      <c r="B54" s="12" t="s">
        <v>9</v>
      </c>
      <c r="C54" s="13" t="s">
        <v>259</v>
      </c>
      <c r="D54" s="13" t="s">
        <v>313</v>
      </c>
      <c r="E54" s="13" t="s">
        <v>314</v>
      </c>
      <c r="F54" s="13" t="s">
        <v>315</v>
      </c>
      <c r="G54" s="13" t="s">
        <v>316</v>
      </c>
      <c r="H54" s="12" t="s">
        <v>30</v>
      </c>
      <c r="I54" s="12" t="s">
        <v>6</v>
      </c>
      <c r="J54" s="12" t="s">
        <v>54</v>
      </c>
      <c r="K54" s="13" t="s">
        <v>317</v>
      </c>
    </row>
    <row r="55" spans="1:11" ht="42.75" customHeight="1" x14ac:dyDescent="0.3">
      <c r="A55" s="12" t="s">
        <v>318</v>
      </c>
      <c r="B55" s="12" t="s">
        <v>9</v>
      </c>
      <c r="C55" s="13" t="s">
        <v>319</v>
      </c>
      <c r="D55" s="13" t="s">
        <v>320</v>
      </c>
      <c r="E55" s="13" t="s">
        <v>321</v>
      </c>
      <c r="F55" s="13" t="s">
        <v>322</v>
      </c>
      <c r="G55" s="13" t="s">
        <v>323</v>
      </c>
      <c r="H55" s="12" t="s">
        <v>30</v>
      </c>
      <c r="I55" s="12" t="s">
        <v>6</v>
      </c>
      <c r="J55" s="12" t="s">
        <v>98</v>
      </c>
      <c r="K55" s="13" t="s">
        <v>146</v>
      </c>
    </row>
    <row r="56" spans="1:11" ht="42.75" customHeight="1" x14ac:dyDescent="0.3">
      <c r="A56" s="12" t="s">
        <v>324</v>
      </c>
      <c r="B56" s="12" t="s">
        <v>9</v>
      </c>
      <c r="C56" s="13" t="s">
        <v>319</v>
      </c>
      <c r="D56" s="13" t="s">
        <v>325</v>
      </c>
      <c r="E56" s="13" t="s">
        <v>326</v>
      </c>
      <c r="F56" s="13" t="s">
        <v>327</v>
      </c>
      <c r="G56" s="13" t="s">
        <v>328</v>
      </c>
      <c r="H56" s="12" t="s">
        <v>30</v>
      </c>
      <c r="I56" s="12" t="s">
        <v>6</v>
      </c>
      <c r="J56" s="12" t="s">
        <v>98</v>
      </c>
      <c r="K56" s="13" t="s">
        <v>329</v>
      </c>
    </row>
    <row r="57" spans="1:11" ht="42.75" customHeight="1" x14ac:dyDescent="0.3">
      <c r="A57" s="12" t="s">
        <v>330</v>
      </c>
      <c r="B57" s="12" t="s">
        <v>9</v>
      </c>
      <c r="C57" s="13" t="s">
        <v>319</v>
      </c>
      <c r="D57" s="13" t="s">
        <v>331</v>
      </c>
      <c r="E57" s="13" t="s">
        <v>332</v>
      </c>
      <c r="F57" s="13" t="s">
        <v>333</v>
      </c>
      <c r="G57" s="13" t="s">
        <v>334</v>
      </c>
      <c r="H57" s="12" t="s">
        <v>30</v>
      </c>
      <c r="I57" s="12" t="s">
        <v>6</v>
      </c>
      <c r="J57" s="12" t="s">
        <v>54</v>
      </c>
      <c r="K57" s="13" t="s">
        <v>335</v>
      </c>
    </row>
    <row r="58" spans="1:11" ht="42.75" customHeight="1" x14ac:dyDescent="0.3">
      <c r="A58" s="12" t="s">
        <v>336</v>
      </c>
      <c r="B58" s="12" t="s">
        <v>9</v>
      </c>
      <c r="C58" s="13" t="s">
        <v>319</v>
      </c>
      <c r="D58" s="13" t="s">
        <v>337</v>
      </c>
      <c r="E58" s="13" t="s">
        <v>338</v>
      </c>
      <c r="F58" s="13" t="s">
        <v>339</v>
      </c>
      <c r="G58" s="13" t="s">
        <v>340</v>
      </c>
      <c r="H58" s="12" t="s">
        <v>30</v>
      </c>
      <c r="I58" s="12" t="s">
        <v>6</v>
      </c>
      <c r="J58" s="12" t="s">
        <v>54</v>
      </c>
      <c r="K58" s="13" t="s">
        <v>341</v>
      </c>
    </row>
    <row r="59" spans="1:11" ht="30" customHeight="1" x14ac:dyDescent="0.3">
      <c r="A59" s="12" t="s">
        <v>342</v>
      </c>
      <c r="B59" s="12" t="s">
        <v>9</v>
      </c>
      <c r="C59" s="13" t="s">
        <v>319</v>
      </c>
      <c r="D59" s="13" t="s">
        <v>343</v>
      </c>
      <c r="E59" s="13" t="s">
        <v>344</v>
      </c>
      <c r="F59" s="13" t="s">
        <v>345</v>
      </c>
      <c r="G59" s="13" t="s">
        <v>346</v>
      </c>
      <c r="H59" s="12" t="s">
        <v>30</v>
      </c>
      <c r="I59" s="12" t="s">
        <v>6</v>
      </c>
      <c r="J59" s="12" t="s">
        <v>54</v>
      </c>
      <c r="K59" s="13" t="s">
        <v>341</v>
      </c>
    </row>
    <row r="60" spans="1:11" ht="42.75" customHeight="1" x14ac:dyDescent="0.3">
      <c r="A60" s="12" t="s">
        <v>347</v>
      </c>
      <c r="B60" s="12" t="s">
        <v>9</v>
      </c>
      <c r="C60" s="13" t="s">
        <v>319</v>
      </c>
      <c r="D60" s="13" t="s">
        <v>348</v>
      </c>
      <c r="E60" s="13" t="s">
        <v>349</v>
      </c>
      <c r="F60" s="13" t="s">
        <v>350</v>
      </c>
      <c r="G60" s="13" t="s">
        <v>351</v>
      </c>
      <c r="H60" s="12" t="s">
        <v>30</v>
      </c>
      <c r="I60" s="12" t="s">
        <v>6</v>
      </c>
      <c r="J60" s="12" t="s">
        <v>31</v>
      </c>
      <c r="K60" s="13" t="s">
        <v>341</v>
      </c>
    </row>
    <row r="61" spans="1:11" ht="42.75" customHeight="1" x14ac:dyDescent="0.3">
      <c r="A61" s="12" t="s">
        <v>352</v>
      </c>
      <c r="B61" s="12" t="s">
        <v>9</v>
      </c>
      <c r="C61" s="13" t="s">
        <v>319</v>
      </c>
      <c r="D61" s="13" t="s">
        <v>353</v>
      </c>
      <c r="E61" s="13" t="s">
        <v>354</v>
      </c>
      <c r="F61" s="13" t="s">
        <v>355</v>
      </c>
      <c r="G61" s="13" t="s">
        <v>356</v>
      </c>
      <c r="H61" s="12" t="s">
        <v>30</v>
      </c>
      <c r="I61" s="12" t="s">
        <v>6</v>
      </c>
      <c r="J61" s="12" t="s">
        <v>54</v>
      </c>
      <c r="K61" s="13" t="s">
        <v>224</v>
      </c>
    </row>
    <row r="62" spans="1:11" ht="42.75" customHeight="1" x14ac:dyDescent="0.3">
      <c r="A62" s="12" t="s">
        <v>357</v>
      </c>
      <c r="B62" s="12" t="s">
        <v>9</v>
      </c>
      <c r="C62" s="13" t="s">
        <v>319</v>
      </c>
      <c r="D62" s="13" t="s">
        <v>358</v>
      </c>
      <c r="E62" s="13" t="s">
        <v>359</v>
      </c>
      <c r="F62" s="13" t="s">
        <v>360</v>
      </c>
      <c r="G62" s="13" t="s">
        <v>361</v>
      </c>
      <c r="H62" s="12" t="s">
        <v>30</v>
      </c>
      <c r="I62" s="12" t="s">
        <v>6</v>
      </c>
      <c r="J62" s="12" t="s">
        <v>98</v>
      </c>
      <c r="K62" s="13" t="s">
        <v>224</v>
      </c>
    </row>
    <row r="63" spans="1:11" ht="42.75" customHeight="1" x14ac:dyDescent="0.3">
      <c r="A63" s="12" t="s">
        <v>362</v>
      </c>
      <c r="B63" s="12" t="s">
        <v>9</v>
      </c>
      <c r="C63" s="13" t="s">
        <v>319</v>
      </c>
      <c r="D63" s="13" t="s">
        <v>363</v>
      </c>
      <c r="E63" s="13" t="s">
        <v>364</v>
      </c>
      <c r="F63" s="13" t="s">
        <v>365</v>
      </c>
      <c r="G63" s="13" t="s">
        <v>366</v>
      </c>
      <c r="H63" s="12" t="s">
        <v>30</v>
      </c>
      <c r="I63" s="12" t="s">
        <v>6</v>
      </c>
      <c r="J63" s="12" t="s">
        <v>98</v>
      </c>
      <c r="K63" s="13" t="s">
        <v>367</v>
      </c>
    </row>
    <row r="64" spans="1:11" ht="42.75" customHeight="1" x14ac:dyDescent="0.3">
      <c r="A64" s="12" t="s">
        <v>368</v>
      </c>
      <c r="B64" s="12" t="s">
        <v>9</v>
      </c>
      <c r="C64" s="13" t="s">
        <v>319</v>
      </c>
      <c r="D64" s="13" t="s">
        <v>369</v>
      </c>
      <c r="E64" s="13" t="s">
        <v>370</v>
      </c>
      <c r="F64" s="13" t="s">
        <v>371</v>
      </c>
      <c r="G64" s="13" t="s">
        <v>372</v>
      </c>
      <c r="H64" s="12" t="s">
        <v>30</v>
      </c>
      <c r="I64" s="12" t="s">
        <v>6</v>
      </c>
      <c r="J64" s="12" t="s">
        <v>54</v>
      </c>
      <c r="K64" s="13" t="s">
        <v>224</v>
      </c>
    </row>
    <row r="65" spans="1:11" ht="42.75" customHeight="1" x14ac:dyDescent="0.3">
      <c r="A65" s="12" t="s">
        <v>373</v>
      </c>
      <c r="B65" s="12" t="s">
        <v>9</v>
      </c>
      <c r="C65" s="13" t="s">
        <v>319</v>
      </c>
      <c r="D65" s="13" t="s">
        <v>374</v>
      </c>
      <c r="E65" s="13" t="s">
        <v>375</v>
      </c>
      <c r="F65" s="13" t="s">
        <v>376</v>
      </c>
      <c r="G65" s="13" t="s">
        <v>377</v>
      </c>
      <c r="H65" s="12" t="s">
        <v>30</v>
      </c>
      <c r="I65" s="12" t="s">
        <v>6</v>
      </c>
      <c r="J65" s="12" t="s">
        <v>31</v>
      </c>
      <c r="K65" s="13" t="s">
        <v>378</v>
      </c>
    </row>
    <row r="66" spans="1:11" ht="42.75" customHeight="1" x14ac:dyDescent="0.3">
      <c r="A66" s="12" t="s">
        <v>379</v>
      </c>
      <c r="B66" s="12" t="s">
        <v>9</v>
      </c>
      <c r="C66" s="13" t="s">
        <v>380</v>
      </c>
      <c r="D66" s="13" t="s">
        <v>381</v>
      </c>
      <c r="E66" s="13" t="s">
        <v>382</v>
      </c>
      <c r="F66" s="13" t="s">
        <v>383</v>
      </c>
      <c r="G66" s="13" t="s">
        <v>384</v>
      </c>
      <c r="H66" s="12" t="s">
        <v>30</v>
      </c>
      <c r="I66" s="12" t="s">
        <v>6</v>
      </c>
      <c r="J66" s="12" t="s">
        <v>98</v>
      </c>
      <c r="K66" s="13" t="s">
        <v>385</v>
      </c>
    </row>
    <row r="67" spans="1:11" ht="42.75" customHeight="1" x14ac:dyDescent="0.3">
      <c r="A67" s="12" t="s">
        <v>386</v>
      </c>
      <c r="B67" s="12" t="s">
        <v>9</v>
      </c>
      <c r="C67" s="13" t="s">
        <v>380</v>
      </c>
      <c r="D67" s="13" t="s">
        <v>387</v>
      </c>
      <c r="E67" s="13" t="s">
        <v>388</v>
      </c>
      <c r="F67" s="13" t="s">
        <v>389</v>
      </c>
      <c r="G67" s="13" t="s">
        <v>390</v>
      </c>
      <c r="H67" s="12" t="s">
        <v>30</v>
      </c>
      <c r="I67" s="12" t="s">
        <v>6</v>
      </c>
      <c r="J67" s="12" t="s">
        <v>98</v>
      </c>
      <c r="K67" s="13" t="s">
        <v>158</v>
      </c>
    </row>
    <row r="68" spans="1:11" ht="42.75" customHeight="1" x14ac:dyDescent="0.3">
      <c r="A68" s="12" t="s">
        <v>391</v>
      </c>
      <c r="B68" s="12" t="s">
        <v>9</v>
      </c>
      <c r="C68" s="13" t="s">
        <v>380</v>
      </c>
      <c r="D68" s="13" t="s">
        <v>392</v>
      </c>
      <c r="E68" s="13" t="s">
        <v>393</v>
      </c>
      <c r="F68" s="13" t="s">
        <v>394</v>
      </c>
      <c r="G68" s="13" t="s">
        <v>395</v>
      </c>
      <c r="H68" s="12" t="s">
        <v>30</v>
      </c>
      <c r="I68" s="12" t="s">
        <v>6</v>
      </c>
      <c r="J68" s="12" t="s">
        <v>31</v>
      </c>
      <c r="K68" s="13" t="s">
        <v>180</v>
      </c>
    </row>
    <row r="69" spans="1:11" ht="55.5" customHeight="1" x14ac:dyDescent="0.3">
      <c r="A69" s="12" t="s">
        <v>396</v>
      </c>
      <c r="B69" s="12" t="s">
        <v>10</v>
      </c>
      <c r="C69" s="13" t="s">
        <v>397</v>
      </c>
      <c r="D69" s="13" t="s">
        <v>398</v>
      </c>
      <c r="E69" s="13" t="s">
        <v>399</v>
      </c>
      <c r="F69" s="13" t="s">
        <v>400</v>
      </c>
      <c r="G69" s="13" t="s">
        <v>401</v>
      </c>
      <c r="H69" s="12" t="s">
        <v>30</v>
      </c>
      <c r="I69" s="12" t="s">
        <v>6</v>
      </c>
      <c r="J69" s="12" t="s">
        <v>98</v>
      </c>
      <c r="K69" s="13" t="s">
        <v>158</v>
      </c>
    </row>
    <row r="70" spans="1:11" ht="55.5" customHeight="1" x14ac:dyDescent="0.3">
      <c r="A70" s="12" t="s">
        <v>402</v>
      </c>
      <c r="B70" s="12" t="s">
        <v>10</v>
      </c>
      <c r="C70" s="13" t="s">
        <v>397</v>
      </c>
      <c r="D70" s="13" t="s">
        <v>403</v>
      </c>
      <c r="E70" s="13" t="s">
        <v>404</v>
      </c>
      <c r="F70" s="13" t="s">
        <v>405</v>
      </c>
      <c r="G70" s="13" t="s">
        <v>401</v>
      </c>
      <c r="H70" s="12" t="s">
        <v>30</v>
      </c>
      <c r="I70" s="12" t="s">
        <v>6</v>
      </c>
      <c r="J70" s="12" t="s">
        <v>98</v>
      </c>
      <c r="K70" s="13" t="s">
        <v>406</v>
      </c>
    </row>
    <row r="71" spans="1:11" ht="69" customHeight="1" x14ac:dyDescent="0.3">
      <c r="A71" s="12" t="s">
        <v>407</v>
      </c>
      <c r="B71" s="12" t="s">
        <v>10</v>
      </c>
      <c r="C71" s="13" t="s">
        <v>397</v>
      </c>
      <c r="D71" s="13" t="s">
        <v>408</v>
      </c>
      <c r="E71" s="13" t="s">
        <v>409</v>
      </c>
      <c r="F71" s="13" t="s">
        <v>410</v>
      </c>
      <c r="G71" s="13" t="s">
        <v>401</v>
      </c>
      <c r="H71" s="12" t="s">
        <v>30</v>
      </c>
      <c r="I71" s="12" t="s">
        <v>6</v>
      </c>
      <c r="J71" s="12" t="s">
        <v>54</v>
      </c>
      <c r="K71" s="13" t="s">
        <v>32</v>
      </c>
    </row>
    <row r="72" spans="1:11" ht="55.5" customHeight="1" x14ac:dyDescent="0.3">
      <c r="A72" s="12" t="s">
        <v>411</v>
      </c>
      <c r="B72" s="12" t="s">
        <v>10</v>
      </c>
      <c r="C72" s="13" t="s">
        <v>397</v>
      </c>
      <c r="D72" s="13" t="s">
        <v>412</v>
      </c>
      <c r="E72" s="13" t="s">
        <v>413</v>
      </c>
      <c r="F72" s="13" t="s">
        <v>414</v>
      </c>
      <c r="G72" s="13" t="s">
        <v>401</v>
      </c>
      <c r="H72" s="12" t="s">
        <v>30</v>
      </c>
      <c r="I72" s="12" t="s">
        <v>6</v>
      </c>
      <c r="J72" s="12" t="s">
        <v>98</v>
      </c>
      <c r="K72" s="13" t="s">
        <v>224</v>
      </c>
    </row>
    <row r="73" spans="1:11" ht="55.5" customHeight="1" x14ac:dyDescent="0.3">
      <c r="A73" s="12" t="s">
        <v>415</v>
      </c>
      <c r="B73" s="12" t="s">
        <v>10</v>
      </c>
      <c r="C73" s="13" t="s">
        <v>397</v>
      </c>
      <c r="D73" s="13" t="s">
        <v>416</v>
      </c>
      <c r="E73" s="13" t="s">
        <v>417</v>
      </c>
      <c r="F73" s="13" t="s">
        <v>418</v>
      </c>
      <c r="G73" s="13" t="s">
        <v>401</v>
      </c>
      <c r="H73" s="12" t="s">
        <v>30</v>
      </c>
      <c r="I73" s="12" t="s">
        <v>6</v>
      </c>
      <c r="J73" s="12" t="s">
        <v>98</v>
      </c>
      <c r="K73" s="13" t="s">
        <v>311</v>
      </c>
    </row>
    <row r="74" spans="1:11" ht="55.5" customHeight="1" x14ac:dyDescent="0.3">
      <c r="A74" s="12" t="s">
        <v>419</v>
      </c>
      <c r="B74" s="12" t="s">
        <v>10</v>
      </c>
      <c r="C74" s="13" t="s">
        <v>397</v>
      </c>
      <c r="D74" s="13" t="s">
        <v>420</v>
      </c>
      <c r="E74" s="13" t="s">
        <v>421</v>
      </c>
      <c r="F74" s="13" t="s">
        <v>422</v>
      </c>
      <c r="G74" s="13" t="s">
        <v>401</v>
      </c>
      <c r="H74" s="12" t="s">
        <v>30</v>
      </c>
      <c r="I74" s="12" t="s">
        <v>6</v>
      </c>
      <c r="J74" s="12" t="s">
        <v>98</v>
      </c>
      <c r="K74" s="13" t="s">
        <v>423</v>
      </c>
    </row>
    <row r="75" spans="1:11" ht="55.5" customHeight="1" x14ac:dyDescent="0.3">
      <c r="A75" s="12" t="s">
        <v>424</v>
      </c>
      <c r="B75" s="12" t="s">
        <v>10</v>
      </c>
      <c r="C75" s="13" t="s">
        <v>397</v>
      </c>
      <c r="D75" s="13" t="s">
        <v>425</v>
      </c>
      <c r="E75" s="13" t="s">
        <v>426</v>
      </c>
      <c r="F75" s="13" t="s">
        <v>427</v>
      </c>
      <c r="G75" s="13" t="s">
        <v>401</v>
      </c>
      <c r="H75" s="12" t="s">
        <v>30</v>
      </c>
      <c r="I75" s="12" t="s">
        <v>6</v>
      </c>
      <c r="J75" s="12" t="s">
        <v>54</v>
      </c>
      <c r="K75" s="13" t="s">
        <v>180</v>
      </c>
    </row>
    <row r="76" spans="1:11" ht="55.5" customHeight="1" x14ac:dyDescent="0.3">
      <c r="A76" s="12" t="s">
        <v>428</v>
      </c>
      <c r="B76" s="12" t="s">
        <v>10</v>
      </c>
      <c r="C76" s="13" t="s">
        <v>397</v>
      </c>
      <c r="D76" s="13" t="s">
        <v>429</v>
      </c>
      <c r="E76" s="13" t="s">
        <v>430</v>
      </c>
      <c r="F76" s="13" t="s">
        <v>431</v>
      </c>
      <c r="G76" s="13" t="s">
        <v>401</v>
      </c>
      <c r="H76" s="12" t="s">
        <v>30</v>
      </c>
      <c r="I76" s="12" t="s">
        <v>6</v>
      </c>
      <c r="J76" s="12" t="s">
        <v>98</v>
      </c>
      <c r="K76" s="13" t="s">
        <v>164</v>
      </c>
    </row>
  </sheetData>
  <autoFilter ref="A1:N76" xr:uid="{00000000-0009-0000-0000-000001000000}"/>
  <conditionalFormatting sqref="H2:H76">
    <cfRule type="cellIs" dxfId="2" priority="2" operator="equal">
      <formula>"PASS"</formula>
    </cfRule>
    <cfRule type="cellIs" dxfId="1" priority="3" operator="equal">
      <formula>"PARTIAL FAIL"</formula>
    </cfRule>
    <cfRule type="cellIs" dxfId="0" priority="4" operator="equal">
      <formula>"FAIL"</formula>
    </cfRule>
  </conditionalFormatting>
  <dataValidations count="3">
    <dataValidation type="list" allowBlank="1" sqref="H2:H76" xr:uid="{00000000-0002-0000-0100-000000000000}">
      <formula1>"PASS,PARTIAL FAIL,FAIL"</formula1>
      <formula2>0</formula2>
    </dataValidation>
    <dataValidation type="list" allowBlank="1" sqref="I2:I76" xr:uid="{00000000-0002-0000-0100-000001000000}">
      <formula1>"Manual,Automated,To confirm"</formula1>
      <formula2>0</formula2>
    </dataValidation>
    <dataValidation type="list" allowBlank="1" sqref="J2:J76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zoomScaleNormal="100" workbookViewId="0">
      <pane ySplit="1" topLeftCell="A2" activePane="bottomLeft" state="frozen"/>
      <selection pane="bottomLeft" activeCell="H7" sqref="H7"/>
    </sheetView>
  </sheetViews>
  <sheetFormatPr defaultColWidth="8.6640625" defaultRowHeight="14.4" x14ac:dyDescent="0.3"/>
  <cols>
    <col min="1" max="1" width="9" customWidth="1"/>
    <col min="2" max="2" width="46" customWidth="1"/>
    <col min="3" max="3" width="14" customWidth="1"/>
    <col min="4" max="4" width="44" customWidth="1"/>
    <col min="5" max="5" width="20" customWidth="1"/>
  </cols>
  <sheetData>
    <row r="1" spans="1:4" ht="31.5" customHeight="1" x14ac:dyDescent="0.3">
      <c r="A1" s="3" t="s">
        <v>432</v>
      </c>
      <c r="B1" s="3" t="s">
        <v>433</v>
      </c>
      <c r="C1" s="3" t="s">
        <v>434</v>
      </c>
      <c r="D1" s="3" t="s">
        <v>479</v>
      </c>
    </row>
    <row r="2" spans="1:4" ht="27.75" customHeight="1" x14ac:dyDescent="0.3">
      <c r="A2" s="12" t="s">
        <v>158</v>
      </c>
      <c r="B2" s="13" t="s">
        <v>435</v>
      </c>
      <c r="C2" s="12" t="s">
        <v>436</v>
      </c>
      <c r="D2" s="13" t="s">
        <v>437</v>
      </c>
    </row>
    <row r="3" spans="1:4" ht="27.75" customHeight="1" x14ac:dyDescent="0.3">
      <c r="A3" s="12" t="s">
        <v>152</v>
      </c>
      <c r="B3" s="13" t="s">
        <v>438</v>
      </c>
      <c r="C3" s="12" t="s">
        <v>436</v>
      </c>
      <c r="D3" s="13" t="s">
        <v>439</v>
      </c>
    </row>
    <row r="4" spans="1:4" ht="27.75" customHeight="1" x14ac:dyDescent="0.3">
      <c r="A4" s="12" t="s">
        <v>284</v>
      </c>
      <c r="B4" s="13" t="s">
        <v>440</v>
      </c>
      <c r="C4" s="12" t="s">
        <v>436</v>
      </c>
      <c r="D4" s="13" t="s">
        <v>441</v>
      </c>
    </row>
    <row r="5" spans="1:4" ht="27.75" customHeight="1" x14ac:dyDescent="0.3">
      <c r="A5" s="12" t="s">
        <v>55</v>
      </c>
      <c r="B5" s="13" t="s">
        <v>442</v>
      </c>
      <c r="C5" s="12" t="s">
        <v>436</v>
      </c>
      <c r="D5" s="13" t="s">
        <v>443</v>
      </c>
    </row>
    <row r="6" spans="1:4" ht="27.75" customHeight="1" x14ac:dyDescent="0.3">
      <c r="A6" s="12" t="s">
        <v>444</v>
      </c>
      <c r="B6" s="13" t="s">
        <v>445</v>
      </c>
      <c r="C6" s="12" t="s">
        <v>436</v>
      </c>
      <c r="D6" s="13" t="s">
        <v>318</v>
      </c>
    </row>
    <row r="7" spans="1:4" ht="27.75" customHeight="1" x14ac:dyDescent="0.3">
      <c r="A7" s="12" t="s">
        <v>32</v>
      </c>
      <c r="B7" s="13" t="s">
        <v>446</v>
      </c>
      <c r="C7" s="12" t="s">
        <v>436</v>
      </c>
      <c r="D7" s="13" t="s">
        <v>447</v>
      </c>
    </row>
    <row r="8" spans="1:4" ht="27.75" customHeight="1" x14ac:dyDescent="0.3">
      <c r="A8" s="12" t="s">
        <v>335</v>
      </c>
      <c r="B8" s="13" t="s">
        <v>448</v>
      </c>
      <c r="C8" s="12" t="s">
        <v>436</v>
      </c>
      <c r="D8" s="13" t="s">
        <v>330</v>
      </c>
    </row>
    <row r="9" spans="1:4" ht="27.75" customHeight="1" x14ac:dyDescent="0.3">
      <c r="A9" s="12" t="s">
        <v>341</v>
      </c>
      <c r="B9" s="13" t="s">
        <v>449</v>
      </c>
      <c r="C9" s="12" t="s">
        <v>436</v>
      </c>
      <c r="D9" s="13" t="s">
        <v>450</v>
      </c>
    </row>
    <row r="10" spans="1:4" ht="27.75" customHeight="1" x14ac:dyDescent="0.3">
      <c r="A10" s="12" t="s">
        <v>224</v>
      </c>
      <c r="B10" s="13" t="s">
        <v>451</v>
      </c>
      <c r="C10" s="12" t="s">
        <v>436</v>
      </c>
      <c r="D10" s="13" t="s">
        <v>452</v>
      </c>
    </row>
    <row r="11" spans="1:4" ht="27.75" customHeight="1" x14ac:dyDescent="0.3">
      <c r="A11" s="12" t="s">
        <v>186</v>
      </c>
      <c r="B11" s="13" t="s">
        <v>453</v>
      </c>
      <c r="C11" s="12" t="s">
        <v>436</v>
      </c>
      <c r="D11" s="13" t="s">
        <v>454</v>
      </c>
    </row>
    <row r="12" spans="1:4" ht="27.75" customHeight="1" x14ac:dyDescent="0.3">
      <c r="A12" s="12" t="s">
        <v>367</v>
      </c>
      <c r="B12" s="13" t="s">
        <v>455</v>
      </c>
      <c r="C12" s="12" t="s">
        <v>436</v>
      </c>
      <c r="D12" s="13" t="s">
        <v>456</v>
      </c>
    </row>
    <row r="13" spans="1:4" ht="27.75" customHeight="1" x14ac:dyDescent="0.3">
      <c r="A13" s="12" t="s">
        <v>122</v>
      </c>
      <c r="B13" s="13" t="s">
        <v>457</v>
      </c>
      <c r="C13" s="12" t="s">
        <v>436</v>
      </c>
      <c r="D13" s="13" t="s">
        <v>458</v>
      </c>
    </row>
    <row r="14" spans="1:4" ht="27.75" customHeight="1" x14ac:dyDescent="0.3">
      <c r="A14" s="12" t="s">
        <v>208</v>
      </c>
      <c r="B14" s="13" t="s">
        <v>459</v>
      </c>
      <c r="C14" s="12" t="s">
        <v>436</v>
      </c>
      <c r="D14" s="13" t="s">
        <v>460</v>
      </c>
    </row>
    <row r="15" spans="1:4" ht="27.75" customHeight="1" x14ac:dyDescent="0.3">
      <c r="A15" s="12" t="s">
        <v>99</v>
      </c>
      <c r="B15" s="13" t="s">
        <v>461</v>
      </c>
      <c r="C15" s="12" t="s">
        <v>436</v>
      </c>
      <c r="D15" s="13" t="s">
        <v>462</v>
      </c>
    </row>
    <row r="16" spans="1:4" ht="27.75" customHeight="1" x14ac:dyDescent="0.3">
      <c r="A16" s="12" t="s">
        <v>202</v>
      </c>
      <c r="B16" s="13" t="s">
        <v>463</v>
      </c>
      <c r="C16" s="12" t="s">
        <v>436</v>
      </c>
      <c r="D16" s="13" t="s">
        <v>464</v>
      </c>
    </row>
    <row r="17" spans="1:4" ht="27.75" customHeight="1" x14ac:dyDescent="0.3">
      <c r="A17" s="12" t="s">
        <v>180</v>
      </c>
      <c r="B17" s="13" t="s">
        <v>465</v>
      </c>
      <c r="C17" s="12" t="s">
        <v>436</v>
      </c>
      <c r="D17" s="13" t="s">
        <v>466</v>
      </c>
    </row>
    <row r="18" spans="1:4" ht="27.75" customHeight="1" x14ac:dyDescent="0.3">
      <c r="A18" s="12" t="s">
        <v>317</v>
      </c>
      <c r="B18" s="13" t="s">
        <v>467</v>
      </c>
      <c r="C18" s="12" t="s">
        <v>436</v>
      </c>
      <c r="D18" s="13" t="s">
        <v>312</v>
      </c>
    </row>
    <row r="19" spans="1:4" ht="27.75" customHeight="1" x14ac:dyDescent="0.3">
      <c r="A19" s="12" t="s">
        <v>378</v>
      </c>
      <c r="B19" s="13" t="s">
        <v>468</v>
      </c>
      <c r="C19" s="12" t="s">
        <v>436</v>
      </c>
      <c r="D19" s="13" t="s">
        <v>373</v>
      </c>
    </row>
    <row r="20" spans="1:4" ht="27.75" customHeight="1" x14ac:dyDescent="0.3">
      <c r="A20" s="12" t="s">
        <v>252</v>
      </c>
      <c r="B20" s="13" t="s">
        <v>469</v>
      </c>
      <c r="C20" s="12" t="s">
        <v>436</v>
      </c>
      <c r="D20" s="13" t="s">
        <v>247</v>
      </c>
    </row>
    <row r="21" spans="1:4" ht="27.75" customHeight="1" x14ac:dyDescent="0.3">
      <c r="A21" s="12" t="s">
        <v>470</v>
      </c>
      <c r="B21" s="13" t="s">
        <v>471</v>
      </c>
      <c r="C21" s="12" t="s">
        <v>436</v>
      </c>
      <c r="D21" s="13" t="s">
        <v>472</v>
      </c>
    </row>
    <row r="23" spans="1:4" x14ac:dyDescent="0.3">
      <c r="A23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VIINESH KERISNAN</cp:lastModifiedBy>
  <cp:revision>0</cp:revision>
  <dcterms:created xsi:type="dcterms:W3CDTF">2026-10-13T12:54:35Z</dcterms:created>
  <dcterms:modified xsi:type="dcterms:W3CDTF">2026-10-13T14:25:56Z</dcterms:modified>
  <dc:language>en-US</dc:language>
</cp:coreProperties>
</file>